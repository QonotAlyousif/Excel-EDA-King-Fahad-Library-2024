
<file path=[Content_Types].xml><?xml version="1.0" encoding="utf-8"?>
<Types xmlns="http://schemas.openxmlformats.org/package/2006/content-types">
  <Default Extension="bin" ContentType="application/vnd.ms-office.vbaProject"/>
  <Default Extension="gif" ContentType="image/gi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hidePivotFieldList="1" defaultThemeVersion="166925"/>
  <mc:AlternateContent xmlns:mc="http://schemas.openxmlformats.org/markup-compatibility/2006">
    <mc:Choice Requires="x15">
      <x15ac:absPath xmlns:x15ac="http://schemas.microsoft.com/office/spreadsheetml/2010/11/ac" url="https://d.docs.live.net/5c01123bd8720e12/Documents/"/>
    </mc:Choice>
  </mc:AlternateContent>
  <xr:revisionPtr revIDLastSave="0" documentId="8_{C6E24155-7746-4F27-9948-E6BFD5AC009C}" xr6:coauthVersionLast="47" xr6:coauthVersionMax="47" xr10:uidLastSave="{00000000-0000-0000-0000-000000000000}"/>
  <bookViews>
    <workbookView xWindow="-98" yWindow="-98" windowWidth="21795" windowHeight="12975" tabRatio="936" xr2:uid="{00000000-000D-0000-FFFF-FFFF00000000}"/>
  </bookViews>
  <sheets>
    <sheet name="dashboard" sheetId="18" r:id="rId1"/>
    <sheet name="pivottables" sheetId="17" r:id="rId2"/>
    <sheet name="Library working hours" sheetId="22" r:id="rId3"/>
    <sheet name="Number of library visitors" sheetId="1" r:id="rId4"/>
    <sheet name="library events 2024" sheetId="2" r:id="rId5"/>
    <sheet name="Statistics on the use of electr" sheetId="3" r:id="rId6"/>
    <sheet name="Beneficiary satisfaction measur" sheetId="4" r:id="rId7"/>
  </sheets>
  <definedNames>
    <definedName name="Slicer_audince">#N/A</definedName>
    <definedName name="Slicer_day">#N/A</definedName>
    <definedName name="Slicer_month">#N/A</definedName>
  </definedNames>
  <calcPr calcId="191028"/>
  <pivotCaches>
    <pivotCache cacheId="4" r:id="rId8"/>
    <pivotCache cacheId="5" r:id="rId9"/>
    <pivotCache cacheId="6" r:id="rId10"/>
    <pivotCache cacheId="7"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23" i="17" l="1"/>
  <c r="I24" i="17"/>
  <c r="I25" i="17"/>
  <c r="I26" i="17"/>
  <c r="I27" i="17"/>
  <c r="I28" i="17"/>
  <c r="G32" i="17"/>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F3" i="2"/>
  <c r="F4" i="2"/>
  <c r="F5" i="2"/>
  <c r="F6" i="2"/>
  <c r="F7" i="2"/>
  <c r="F8" i="2"/>
  <c r="F9" i="2"/>
  <c r="F10" i="2"/>
  <c r="F11" i="2"/>
  <c r="F12" i="2"/>
  <c r="F13" i="2"/>
  <c r="F14" i="2"/>
  <c r="F15" i="2"/>
  <c r="F16" i="2"/>
  <c r="F17" i="2"/>
  <c r="F18" i="2"/>
  <c r="F19" i="2"/>
  <c r="F20" i="2"/>
  <c r="F21" i="2"/>
  <c r="F22" i="2"/>
  <c r="F23" i="2"/>
  <c r="F24" i="2"/>
  <c r="F2" i="2"/>
  <c r="A3" i="2"/>
  <c r="A4" i="2"/>
  <c r="A5" i="2"/>
  <c r="A6" i="2"/>
  <c r="A7" i="2"/>
  <c r="A8" i="2"/>
  <c r="A9" i="2"/>
  <c r="A10" i="2"/>
  <c r="A11" i="2"/>
  <c r="A12" i="2"/>
  <c r="A13" i="2"/>
  <c r="A14" i="2"/>
  <c r="A15" i="2"/>
  <c r="A16" i="2"/>
  <c r="A17" i="2"/>
  <c r="A18" i="2"/>
  <c r="A19" i="2"/>
  <c r="A20" i="2"/>
  <c r="A21" i="2"/>
  <c r="A22" i="2"/>
  <c r="A23" i="2"/>
  <c r="A24" i="2"/>
  <c r="A2" i="2"/>
  <c r="A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B2" i="3"/>
  <c r="E7" i="17"/>
  <c r="D7" i="17"/>
  <c r="C7" i="17"/>
  <c r="B7" i="17"/>
  <c r="I32" i="17" l="1"/>
  <c r="F7" i="17" s="1"/>
  <c r="H32" i="17" l="1"/>
</calcChain>
</file>

<file path=xl/sharedStrings.xml><?xml version="1.0" encoding="utf-8"?>
<sst xmlns="http://schemas.openxmlformats.org/spreadsheetml/2006/main" count="561" uniqueCount="189">
  <si>
    <t>month</t>
  </si>
  <si>
    <t>quarter</t>
  </si>
  <si>
    <t>response</t>
  </si>
  <si>
    <t>location</t>
  </si>
  <si>
    <t>criteria</t>
  </si>
  <si>
    <t>satisfied</t>
  </si>
  <si>
    <t>netural</t>
  </si>
  <si>
    <t>dissatisfied</t>
  </si>
  <si>
    <t>service_category</t>
  </si>
  <si>
    <t>Sum of requests</t>
  </si>
  <si>
    <t>day</t>
  </si>
  <si>
    <t xml:space="preserve">audince </t>
  </si>
  <si>
    <t>Research Support Services</t>
  </si>
  <si>
    <t>Sunday</t>
  </si>
  <si>
    <t>Monday</t>
  </si>
  <si>
    <t>Tuesday</t>
  </si>
  <si>
    <t>Wednesday</t>
  </si>
  <si>
    <t>Thursday</t>
  </si>
  <si>
    <t>Friday</t>
  </si>
  <si>
    <t>Saturday</t>
  </si>
  <si>
    <t>Grand Total</t>
  </si>
  <si>
    <t>Public</t>
  </si>
  <si>
    <t xml:space="preserve">Private </t>
  </si>
  <si>
    <t>Registration Services</t>
  </si>
  <si>
    <t>Publishing Services</t>
  </si>
  <si>
    <t>Visitor Services</t>
  </si>
  <si>
    <t>Historical Archive Services</t>
  </si>
  <si>
    <t>date</t>
  </si>
  <si>
    <t>male</t>
  </si>
  <si>
    <t>female</t>
  </si>
  <si>
    <t>total</t>
  </si>
  <si>
    <t>city</t>
  </si>
  <si>
    <t>event_title</t>
  </si>
  <si>
    <t>days</t>
  </si>
  <si>
    <t>start_date</t>
  </si>
  <si>
    <t>end_date</t>
  </si>
  <si>
    <t>Riyadh</t>
  </si>
  <si>
    <t>اليوم العالمي للغة برايل/ تصميم بوستر اعلاني عن هذا اليوم إقامة معرض في البهو بالكتب الموجودة في المكتبة بتقنية برايل،تجربة اثرائية للزوار في بهو المكتبة لتجربة الكتب</t>
  </si>
  <si>
    <t>King Fahd National Library</t>
  </si>
  <si>
    <t>اليوم العالمي للتعليم/ معرض للصور وأدوات التعليم بالمخطوطات وعرض مناهج التعليم لمدة أسبوع</t>
  </si>
  <si>
    <t>الاحتفاء بيوم التأسيس/ معرض صور ومخطوطات ومحاضرة بالتعاون مع بوابة الدرعية</t>
  </si>
  <si>
    <t>اليوم العالمي للمرأة/ تصميم إنفوجرافيك يعرض على الشاشات</t>
  </si>
  <si>
    <t>يوم المخطوطات العربية/ محاضرة عامة</t>
  </si>
  <si>
    <t>اليوم العالمي للمخطوطات - محاضرة "تراثنا المخطوط ومقومات التواصل الحضاري"</t>
  </si>
  <si>
    <t xml:space="preserve">ميدياثون الحج و العمرة </t>
  </si>
  <si>
    <t>حديث المكتبة "رحلة عبر آفاق التقنية" مارك قيتي</t>
  </si>
  <si>
    <t xml:space="preserve">ملتقى حقوق المؤلف </t>
  </si>
  <si>
    <t>حديث المكتبة "مسارات التجربة وهموم الترجمة"</t>
  </si>
  <si>
    <t>حفل اليوم الوطني (للموظفين)</t>
  </si>
  <si>
    <t>استضافة معرض التعليم آرت لمدة 5 أيام</t>
  </si>
  <si>
    <t>معرض الرياض الدولي للكتاب</t>
  </si>
  <si>
    <t>King Saud University</t>
  </si>
  <si>
    <t>اليوم العالمي للقهوة / مشاركة الموظفين باستضافة قهوة هاف مليون</t>
  </si>
  <si>
    <t>حديث المكتبة "أحداث دمشق مذبحة1860 ونهاية العالم العثماني القديم"</t>
  </si>
  <si>
    <t>مؤتمر رحلة التعلم</t>
  </si>
  <si>
    <t>Four Seasons Hotel</t>
  </si>
  <si>
    <t>فعالية "لنمرح معاً" مركز أسرار المعارف للتدريب</t>
  </si>
  <si>
    <t>حديث المكتبة "مطالعات ..." مع الدكتور نزار مدني</t>
  </si>
  <si>
    <t xml:space="preserve">المشاركة في معرض المخطوطات السعودي </t>
  </si>
  <si>
    <t xml:space="preserve">Mayadeen Venue </t>
  </si>
  <si>
    <t>اليوم العالمي لذوي الإعاقة/ استضافة جمعية ذوي الاحتياجات بحديقة المكتبة</t>
  </si>
  <si>
    <t>مؤتمر الرياض الدولي للفلسفة</t>
  </si>
  <si>
    <t>حديث المكتبة "الكتابات العربية القديمة في الجزيرة العربية"</t>
  </si>
  <si>
    <t>Qassim</t>
  </si>
  <si>
    <t>الملتقى الأول للعناية بالمكتبات الخاصة</t>
  </si>
  <si>
    <t>King Khalid Cultural Center</t>
  </si>
  <si>
    <t>service_name</t>
  </si>
  <si>
    <t>requests</t>
  </si>
  <si>
    <t>service_link</t>
  </si>
  <si>
    <t xml:space="preserve">descreption </t>
  </si>
  <si>
    <t>Printed Material Registration Request</t>
  </si>
  <si>
    <t>https://kfnl.gov.sa/Ar/EServices/wfs/Pages/2.aspx</t>
  </si>
  <si>
    <t>تتيح هذه الخدمة للجهات الحكومية إمكانية تسجيل أعمالها الفكرية من نوع (كتاب - كتيب - مطوية - خرائط) وا​لحصول على بطاقة (فهرسة أثناء النشر) قبل طباعة المادة طباعة نهائية</t>
  </si>
  <si>
    <t>Periodical Registration Request</t>
  </si>
  <si>
    <t>https://kfnl.gov.sa/Ar/EServices/wfs/Pages/3.aspx</t>
  </si>
  <si>
    <t xml:space="preserve">​تتيح​​ هذه الخدمة للمستفيدين إمكانية تسجيل طلب تسجيل دورية جديدة في المملكة ( مجلة , صحيفة , حولية , وغيرها ) </t>
  </si>
  <si>
    <t>Non-Printed Material Registration</t>
  </si>
  <si>
    <t>https://kfnl.gov.sa/Ar/EServices/wfs/Pages/4.aspx</t>
  </si>
  <si>
    <t xml:space="preserve">تتيح​​ هذه الخدمة للمستفيدين إمكانية تسجيل مادة متعددة الوسائط ( شريط سمعي , قرص سمعي , شريط فديو , شريط سينمائي , قرص مدمج , برنامج حاسب .. ) </t>
  </si>
  <si>
    <t>Artistic Material Registration Request</t>
  </si>
  <si>
    <t>https://kfnl.gov.sa/Ar/EServices/wfs/Pages/5.aspx</t>
  </si>
  <si>
    <t>​تتيح​​ هذه الخدمة للمستفيدين إمكانية تسجيل مادة فنية ( رسم , نحت ومجسمات , نسيج باتيك , تصوير , خزف .. )</t>
  </si>
  <si>
    <t>Research Topic Inquiry (Master/PhD)</t>
  </si>
  <si>
    <t>https://kfnl.gov.sa/Ar/EServices/wfs/Pages/7.aspx</t>
  </si>
  <si>
    <t xml:space="preserve"> ​تقدم هذه الخدمة لأقسام الدراسات العليا في بعض الجامعات السعودية وتهدف إلى معرفة هل موضوع البحث تم بحثه مسبقاً</t>
  </si>
  <si>
    <t>Electronic Document Upload Service</t>
  </si>
  <si>
    <t>https://eservices.kfnl.gov.sa:8060/KFNLDeptVisitors/Account/Login?ReturnUrl=%2fKFNLDeptVisitors%2f</t>
  </si>
  <si>
    <t>تتيح هذه الخدمة للمودعين إمكانية تحميل ملفات المحتوى الرقمي لعملهم المودع في المكتبة كجزء من إجراءات عملية الإيداع</t>
  </si>
  <si>
    <t>Sources List Request</t>
  </si>
  <si>
    <t>https://kfnl.gov.sa/Ar/EServices/wfs/Pages/129.aspx</t>
  </si>
  <si>
    <t>تتيح هذه الخدمة للباحثين إمكانية استخراج قائمة بمصادر المعلومات وارسال مستخرج (Printout) لمصادر المعلومات المختارة الى البريد الالكتروني للمستفيد</t>
  </si>
  <si>
    <t>Digital Content Request</t>
  </si>
  <si>
    <t>https://kfnl.gov.sa/Ar/EServices/wfs/Pages/130.aspx</t>
  </si>
  <si>
    <t>تتيح هذه الخدمة للباحثين إمكانية طلب جزء من مصادر المعلومات الرقمية بما لا يتجاوز النسبة النظامية</t>
  </si>
  <si>
    <t>Private Study Room Booking Request</t>
  </si>
  <si>
    <t>https://kfnl.gov.sa/Ar/EServices/wfs/Pages/131.aspx</t>
  </si>
  <si>
    <t>تتيح هذه الخدمة للباحثين إمكانية حجز الخلوات البحثية، وهي عبارة عن غرف مغلقة، تتيح للمستفيد التواجد في مكان أكثر هدوء وخصوصية</t>
  </si>
  <si>
    <t>Attendance Certificate Request</t>
  </si>
  <si>
    <t>https://kfnl.gov.sa/Ar/EServices/wfs/Pages/VisitLetter.aspx</t>
  </si>
  <si>
    <t>تتيح هذه الخدمة تقديم خطاب " افادة حضور" الكتروني، يفيد بزيارة المستفيد للمكتبة</t>
  </si>
  <si>
    <t>Manuscript Request</t>
  </si>
  <si>
    <t>https://kfnl.gov.sa/Ar/EServices/wfs/Pages/11.aspx</t>
  </si>
  <si>
    <t>تتيح هذه الخدمة للباحثين إمكانية طلب مخطوطة او كتاب نادر للقراءة أو التصوير لأغراض بحثية</t>
  </si>
  <si>
    <t>Historical Documents Service Request</t>
  </si>
  <si>
    <t>https://kfnl.gov.sa/Ar/EServices/wfs/Pages/24.aspx</t>
  </si>
  <si>
    <t>تتيح هذه الخدمة للباحثين إمكانية طلب خدمة وثائق تاريخية. كما تتيح للجهات الحكومية (خصوصا مراكز الوثائق) إمكانية إرسال طلب معلومات (طلب إفادة) عن وثائق تاريخية أو إبلاغ المكتبة عن أمر يتعلق بوثائق إلكترونية (مثلاً: إبلاغ عن فقدان أو سرقة وثائق، أو الإبلاغ عن أن مركز الوثائق في طور شراء وثيقة معينة)</t>
  </si>
  <si>
    <t>Historical Photos Request</t>
  </si>
  <si>
    <t>https://kfnl.gov.sa/Ar/EServices/wfs/Pages/12.aspx</t>
  </si>
  <si>
    <t>تتيح هذه الخدمة للمستفيدين إمكانية طلب صور تاريخية تتعلق بشخصيات بارزة أو مواقع جغرافية أو مناسبات لأغراض بحثية</t>
  </si>
  <si>
    <t>Library Journal Publication Service</t>
  </si>
  <si>
    <t>https://kfnl.gov.sa/Ar/EServices/wfs/Pages/29.aspx</t>
  </si>
  <si>
    <t>هي خدمة تتيح للباحثين طلب نشر مقالة علمية محكمة في مجلة مكتبة الملك فهد الوطنية، وهي مجلة علميّة محكّمة نصف سنوية تصدر تحت إشر​اف اللجنة العلمية للمكتبة، تُعنى بنشر البحوث والدراسات في إطار المكتبات وتقنية المعلومات، ومصادر تاريخ المملكة العربية السعودية</t>
  </si>
  <si>
    <t>Scientific Work or Book Publication Registration</t>
  </si>
  <si>
    <t>https://kfnl.gov.sa/Ar/EServices/wfs/Pages/127.aspx</t>
  </si>
  <si>
    <t>تهدف هذه الخدمة إلى تمكين المؤلف من نشر كتبه ومؤلفاته ضمن إصدارات مكتبة الملك فهد الوطنية على أن تتولى المكتبة طباعة العمل</t>
  </si>
  <si>
    <t>Official Visit Request</t>
  </si>
  <si>
    <t>https://kfnl.gov.sa/Ar/EServices/wfs/Pages/31.aspx</t>
  </si>
  <si>
    <t>تتيح هذه الخدمة للجهات الرسمية تقديم طلب رسمي لزيارة المكتبة</t>
  </si>
  <si>
    <t>Saudi Author Identification Data Service</t>
  </si>
  <si>
    <t>https://kfnl.gov.sa/Ar/EServices/wfs/Pages/32.aspx</t>
  </si>
  <si>
    <t>تتيح هذه الخدمة للمستفيدين إمكانية طلب إضافة بيانات تعريفية بمؤلف سعودي إلى القائمة الاستنادية بالمؤلفين السعوديين التي تصدرها المكتبة</t>
  </si>
  <si>
    <t>count</t>
  </si>
  <si>
    <t>How satisfied  are you with the reference services offered at the library (availability of books, resources, and ease of access)</t>
  </si>
  <si>
    <t>How satisfied are you with the staff conduct</t>
  </si>
  <si>
    <t>How satisfied are you with the electronic services offered at the library</t>
  </si>
  <si>
    <t>How satisfied are you with the library's working hours</t>
  </si>
  <si>
    <t>How would you rate the library environment (cleanliness, quietness, air conditioning, etc.)</t>
  </si>
  <si>
    <t xml:space="preserve"> </t>
  </si>
  <si>
    <t>total vistors</t>
  </si>
  <si>
    <t>events</t>
  </si>
  <si>
    <t>e-service</t>
  </si>
  <si>
    <t>May</t>
  </si>
  <si>
    <t>Q4</t>
  </si>
  <si>
    <t>Q3</t>
  </si>
  <si>
    <t>Q2</t>
  </si>
  <si>
    <t>Q1</t>
  </si>
  <si>
    <t>Jan</t>
  </si>
  <si>
    <t>Feb</t>
  </si>
  <si>
    <t>Mar</t>
  </si>
  <si>
    <t>Apr</t>
  </si>
  <si>
    <t>Jun</t>
  </si>
  <si>
    <t>Jul</t>
  </si>
  <si>
    <t>Aug</t>
  </si>
  <si>
    <t>Sep</t>
  </si>
  <si>
    <t>Oct</t>
  </si>
  <si>
    <t>Nov</t>
  </si>
  <si>
    <t>Dec</t>
  </si>
  <si>
    <t>Sun</t>
  </si>
  <si>
    <t xml:space="preserve">Research Support </t>
  </si>
  <si>
    <t xml:space="preserve">Historical Archive </t>
  </si>
  <si>
    <t>Day</t>
  </si>
  <si>
    <t xml:space="preserve">beneficiary serivce hours </t>
  </si>
  <si>
    <t xml:space="preserve">official working hours </t>
  </si>
  <si>
    <t>Service hours</t>
  </si>
  <si>
    <t>Staff Conduct</t>
  </si>
  <si>
    <t>Library Environment</t>
  </si>
  <si>
    <t>Electronic Services</t>
  </si>
  <si>
    <t>Library's working hours</t>
  </si>
  <si>
    <t>total hours (- crossed)</t>
  </si>
  <si>
    <t>KPIs</t>
  </si>
  <si>
    <t xml:space="preserve">  </t>
  </si>
  <si>
    <t>Visitors &amp;</t>
  </si>
  <si>
    <t xml:space="preserve">Working hours </t>
  </si>
  <si>
    <t xml:space="preserve">beneficiary hours </t>
  </si>
  <si>
    <t xml:space="preserve">official hours </t>
  </si>
  <si>
    <t xml:space="preserve">   </t>
  </si>
  <si>
    <t># of events</t>
  </si>
  <si>
    <t>total hours</t>
  </si>
  <si>
    <t># of E-services</t>
  </si>
  <si>
    <t>E-services &amp;</t>
  </si>
  <si>
    <t>2024 events</t>
  </si>
  <si>
    <t xml:space="preserve">     </t>
  </si>
  <si>
    <t xml:space="preserve">       </t>
  </si>
  <si>
    <t>total visitors</t>
  </si>
  <si>
    <t>Average vistors</t>
  </si>
  <si>
    <t xml:space="preserve">Beneficiary </t>
  </si>
  <si>
    <t xml:space="preserve">satisfaction </t>
  </si>
  <si>
    <t xml:space="preserve">Reference services </t>
  </si>
  <si>
    <t>Wed</t>
  </si>
  <si>
    <t>Mon</t>
  </si>
  <si>
    <t>Tues</t>
  </si>
  <si>
    <t>Thurs</t>
  </si>
  <si>
    <t>Fri</t>
  </si>
  <si>
    <t>Sat</t>
  </si>
  <si>
    <t>from</t>
  </si>
  <si>
    <t xml:space="preserve">to </t>
  </si>
  <si>
    <t>service type</t>
  </si>
  <si>
    <t>Sunday-Thursday</t>
  </si>
  <si>
    <t>Beneficiray serivce 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</si>
</sst>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yyyy\-mm\-dd;@"/>
    <numFmt numFmtId="166" formatCode="_(* #,##0_);_(* \(#,##0\);_(* &quot;-&quot;??_);_(@_)"/>
  </numFmts>
  <fonts count="16" x14ac:knownFonts="1">
    <font>
      <sz val="11"/>
      <color theme="1"/>
      <name val="Calibri"/>
      <family val="2"/>
      <scheme val="minor"/>
    </font>
    <font>
      <b/>
      <sz val="11"/>
      <color rgb="FF3F3F3F"/>
      <name val="Calibri"/>
      <scheme val="minor"/>
    </font>
    <font>
      <u/>
      <sz val="11"/>
      <color theme="10"/>
      <name val="Calibri"/>
      <family val="2"/>
      <scheme val="minor"/>
    </font>
    <font>
      <sz val="11"/>
      <color rgb="FF000000"/>
      <name val="Calibri"/>
      <charset val="1"/>
    </font>
    <font>
      <b/>
      <sz val="11"/>
      <color theme="1"/>
      <name val="Calibri"/>
      <family val="2"/>
      <scheme val="minor"/>
    </font>
    <font>
      <b/>
      <sz val="11"/>
      <color rgb="FF3F3F3F"/>
      <name val="Calibri"/>
      <family val="2"/>
      <scheme val="minor"/>
    </font>
    <font>
      <sz val="8"/>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3"/>
      <name val="Calibri"/>
      <family val="2"/>
      <scheme val="minor"/>
    </font>
    <font>
      <b/>
      <sz val="9"/>
      <color theme="1"/>
      <name val="Calibri"/>
      <family val="2"/>
      <scheme val="minor"/>
    </font>
    <font>
      <sz val="9"/>
      <color theme="0"/>
      <name val="Calibri"/>
      <family val="2"/>
      <scheme val="minor"/>
    </font>
    <font>
      <b/>
      <sz val="14"/>
      <color theme="3"/>
      <name val="Calibri"/>
      <family val="2"/>
      <scheme val="minor"/>
    </font>
    <font>
      <b/>
      <sz val="14"/>
      <name val="Calibri"/>
      <family val="2"/>
      <scheme val="minor"/>
    </font>
    <font>
      <b/>
      <sz val="12"/>
      <color theme="3"/>
      <name val="Calibri"/>
      <family val="2"/>
      <scheme val="minor"/>
    </font>
  </fonts>
  <fills count="5">
    <fill>
      <patternFill patternType="none"/>
    </fill>
    <fill>
      <patternFill patternType="gray125"/>
    </fill>
    <fill>
      <patternFill patternType="solid">
        <fgColor rgb="FFF2F2F2"/>
      </patternFill>
    </fill>
    <fill>
      <patternFill patternType="solid">
        <fgColor theme="6" tint="0.79998168889431442"/>
        <bgColor theme="6" tint="0.79998168889431442"/>
      </patternFill>
    </fill>
    <fill>
      <patternFill patternType="solid">
        <fgColor rgb="FF72615A"/>
        <bgColor indexed="64"/>
      </patternFill>
    </fill>
  </fills>
  <borders count="27">
    <border>
      <left/>
      <right/>
      <top/>
      <bottom/>
      <diagonal/>
    </border>
    <border>
      <left style="thin">
        <color rgb="FF3F3F3F"/>
      </left>
      <right style="thin">
        <color rgb="FF3F3F3F"/>
      </right>
      <top style="thin">
        <color rgb="FF3F3F3F"/>
      </top>
      <bottom style="thin">
        <color rgb="FF3F3F3F"/>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style="thin">
        <color rgb="FF000000"/>
      </right>
      <top/>
      <bottom style="thin">
        <color rgb="FF000000"/>
      </bottom>
      <diagonal/>
    </border>
    <border>
      <left/>
      <right style="thin">
        <color rgb="FF000000"/>
      </right>
      <top/>
      <bottom/>
      <diagonal/>
    </border>
    <border>
      <left/>
      <right/>
      <top/>
      <bottom style="thin">
        <color rgb="FF000000"/>
      </bottom>
      <diagonal/>
    </border>
    <border>
      <left/>
      <right/>
      <top style="thin">
        <color rgb="FF000000"/>
      </top>
      <bottom style="thin">
        <color rgb="FF000000"/>
      </bottom>
      <diagonal/>
    </border>
    <border>
      <left style="thin">
        <color rgb="FF3F3F3F"/>
      </left>
      <right style="thin">
        <color rgb="FF3F3F3F"/>
      </right>
      <top style="thin">
        <color rgb="FF3F3F3F"/>
      </top>
      <bottom/>
      <diagonal/>
    </border>
    <border>
      <left/>
      <right/>
      <top style="thin">
        <color theme="4"/>
      </top>
      <bottom style="double">
        <color theme="4"/>
      </bottom>
      <diagonal/>
    </border>
    <border>
      <left/>
      <right/>
      <top/>
      <bottom style="thick">
        <color theme="4" tint="0.499984740745262"/>
      </bottom>
      <diagonal/>
    </border>
    <border>
      <left/>
      <right/>
      <top/>
      <bottom style="medium">
        <color theme="4" tint="0.39997558519241921"/>
      </bottom>
      <diagonal/>
    </border>
    <border>
      <left style="thin">
        <color theme="6"/>
      </left>
      <right style="thin">
        <color theme="6"/>
      </right>
      <top style="thin">
        <color theme="6"/>
      </top>
      <bottom style="medium">
        <color theme="6"/>
      </bottom>
      <diagonal/>
    </border>
    <border>
      <left style="thin">
        <color theme="6"/>
      </left>
      <right style="thin">
        <color theme="6"/>
      </right>
      <top style="thin">
        <color theme="6"/>
      </top>
      <bottom style="thin">
        <color theme="6"/>
      </bottom>
      <diagonal/>
    </border>
    <border>
      <left/>
      <right/>
      <top style="double">
        <color rgb="FF3F3F3F"/>
      </top>
      <bottom style="thin">
        <color indexed="64"/>
      </bottom>
      <diagonal/>
    </border>
    <border>
      <left/>
      <right/>
      <top/>
      <bottom style="medium">
        <color theme="1"/>
      </bottom>
      <diagonal/>
    </border>
    <border>
      <left/>
      <right/>
      <top style="thin">
        <color theme="4"/>
      </top>
      <bottom style="double">
        <color theme="1"/>
      </bottom>
      <diagonal/>
    </border>
  </borders>
  <cellStyleXfs count="7">
    <xf numFmtId="0" fontId="0" fillId="0" borderId="0"/>
    <xf numFmtId="0" fontId="1" fillId="2" borderId="1" applyNumberFormat="0" applyAlignment="0" applyProtection="0"/>
    <xf numFmtId="0" fontId="2" fillId="0" borderId="0" applyNumberFormat="0" applyFill="0" applyBorder="0" applyAlignment="0" applyProtection="0"/>
    <xf numFmtId="0" fontId="4" fillId="0" borderId="19" applyNumberFormat="0" applyFill="0" applyAlignment="0" applyProtection="0"/>
    <xf numFmtId="0" fontId="7" fillId="0" borderId="20" applyNumberFormat="0" applyFill="0" applyAlignment="0" applyProtection="0"/>
    <xf numFmtId="0" fontId="8" fillId="0" borderId="21" applyNumberFormat="0" applyFill="0" applyAlignment="0" applyProtection="0"/>
    <xf numFmtId="0" fontId="12" fillId="4" borderId="0">
      <alignment horizontal="center"/>
    </xf>
  </cellStyleXfs>
  <cellXfs count="82">
    <xf numFmtId="0" fontId="0" fillId="0" borderId="0" xfId="0"/>
    <xf numFmtId="0" fontId="1" fillId="2" borderId="1" xfId="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2" borderId="1" xfId="1" applyAlignment="1">
      <alignment horizontal="center" vertical="top"/>
    </xf>
    <xf numFmtId="0" fontId="0" fillId="0" borderId="5" xfId="0" applyBorder="1" applyAlignment="1">
      <alignment horizontal="center" vertical="top"/>
    </xf>
    <xf numFmtId="0" fontId="0" fillId="0" borderId="6" xfId="0" applyBorder="1" applyAlignment="1">
      <alignment horizontal="center" vertical="top"/>
    </xf>
    <xf numFmtId="0" fontId="0" fillId="0" borderId="6" xfId="0" applyBorder="1" applyAlignment="1">
      <alignment horizontal="center" vertical="top" wrapText="1"/>
    </xf>
    <xf numFmtId="0" fontId="0" fillId="0" borderId="9" xfId="0" applyBorder="1" applyAlignment="1">
      <alignment horizontal="center" vertical="top"/>
    </xf>
    <xf numFmtId="0" fontId="0" fillId="0" borderId="8" xfId="0" applyBorder="1" applyAlignment="1">
      <alignment horizontal="center" vertical="top"/>
    </xf>
    <xf numFmtId="165" fontId="0" fillId="0" borderId="0" xfId="0" applyNumberFormat="1"/>
    <xf numFmtId="165" fontId="1" fillId="2" borderId="1" xfId="1" applyNumberFormat="1" applyAlignment="1">
      <alignment horizontal="center" vertical="center" wrapText="1"/>
    </xf>
    <xf numFmtId="165" fontId="0" fillId="0" borderId="2" xfId="0" applyNumberFormat="1" applyBorder="1" applyAlignment="1">
      <alignment horizontal="center" vertical="center" wrapText="1"/>
    </xf>
    <xf numFmtId="165" fontId="0" fillId="0" borderId="3" xfId="0" applyNumberFormat="1" applyBorder="1" applyAlignment="1">
      <alignment horizontal="center" vertical="center" wrapText="1"/>
    </xf>
    <xf numFmtId="14" fontId="1" fillId="2" borderId="1" xfId="1" applyNumberFormat="1" applyAlignment="1">
      <alignment horizontal="center" vertical="center" wrapText="1"/>
    </xf>
    <xf numFmtId="14" fontId="0" fillId="0" borderId="2" xfId="0" applyNumberFormat="1" applyBorder="1" applyAlignment="1">
      <alignment horizontal="center" vertical="center" wrapText="1"/>
    </xf>
    <xf numFmtId="14" fontId="0" fillId="0" borderId="0" xfId="0" applyNumberFormat="1"/>
    <xf numFmtId="14" fontId="1" fillId="2" borderId="1" xfId="1" applyNumberFormat="1" applyAlignment="1">
      <alignment horizontal="center" vertical="top"/>
    </xf>
    <xf numFmtId="14" fontId="0" fillId="0" borderId="7" xfId="0" applyNumberFormat="1" applyBorder="1" applyAlignment="1">
      <alignment horizontal="center" vertical="top"/>
    </xf>
    <xf numFmtId="14" fontId="0" fillId="0" borderId="8" xfId="0" applyNumberFormat="1" applyBorder="1" applyAlignment="1">
      <alignment horizontal="center" vertical="top"/>
    </xf>
    <xf numFmtId="14" fontId="0" fillId="0" borderId="9" xfId="0" applyNumberFormat="1" applyBorder="1" applyAlignment="1">
      <alignment horizontal="center" vertical="top"/>
    </xf>
    <xf numFmtId="14" fontId="0" fillId="0" borderId="10" xfId="0" applyNumberFormat="1" applyBorder="1" applyAlignment="1">
      <alignment horizontal="center" vertical="top"/>
    </xf>
    <xf numFmtId="0" fontId="0" fillId="0" borderId="7" xfId="0" applyBorder="1" applyAlignment="1">
      <alignment horizontal="center" vertical="top"/>
    </xf>
    <xf numFmtId="165" fontId="0" fillId="0" borderId="0" xfId="0" applyNumberFormat="1" applyAlignment="1">
      <alignment horizontal="center" vertical="center" wrapText="1"/>
    </xf>
    <xf numFmtId="0" fontId="0" fillId="0" borderId="0" xfId="0" applyAlignment="1">
      <alignment horizontal="left"/>
    </xf>
    <xf numFmtId="0" fontId="2" fillId="0" borderId="9" xfId="2" applyBorder="1" applyAlignment="1">
      <alignment horizontal="center" vertical="top"/>
    </xf>
    <xf numFmtId="0" fontId="0" fillId="0" borderId="0" xfId="0" applyAlignment="1">
      <alignment horizontal="left" vertical="top" wrapText="1"/>
    </xf>
    <xf numFmtId="0" fontId="3" fillId="0" borderId="0" xfId="0" applyFont="1" applyAlignment="1">
      <alignment horizontal="left"/>
    </xf>
    <xf numFmtId="0" fontId="0" fillId="0" borderId="0" xfId="0" applyAlignment="1">
      <alignment horizontal="left" vertical="top"/>
    </xf>
    <xf numFmtId="0" fontId="1" fillId="2" borderId="1" xfId="1" applyNumberFormat="1" applyAlignment="1" applyProtection="1">
      <alignment horizontal="center" vertical="top"/>
    </xf>
    <xf numFmtId="0" fontId="1" fillId="2" borderId="1" xfId="1" applyAlignment="1">
      <alignment horizontal="left" vertical="top"/>
    </xf>
    <xf numFmtId="0" fontId="0" fillId="0" borderId="0" xfId="0" applyAlignment="1">
      <alignment horizontal="left" vertical="center"/>
    </xf>
    <xf numFmtId="0" fontId="0" fillId="0" borderId="11" xfId="0" applyBorder="1" applyAlignment="1">
      <alignment horizontal="left" vertical="top"/>
    </xf>
    <xf numFmtId="0" fontId="0" fillId="0" borderId="0" xfId="0" applyAlignment="1">
      <alignment horizontal="left" wrapText="1"/>
    </xf>
    <xf numFmtId="0" fontId="1" fillId="2" borderId="1" xfId="1" applyAlignment="1">
      <alignment horizontal="right" vertical="top"/>
    </xf>
    <xf numFmtId="0" fontId="0" fillId="0" borderId="12" xfId="0" applyBorder="1" applyAlignment="1">
      <alignment horizontal="right" vertical="top" wrapText="1"/>
    </xf>
    <xf numFmtId="0" fontId="0" fillId="0" borderId="12" xfId="0" applyBorder="1" applyAlignment="1">
      <alignment horizontal="right" vertical="top"/>
    </xf>
    <xf numFmtId="0" fontId="0" fillId="0" borderId="13" xfId="0" applyBorder="1" applyAlignment="1">
      <alignment horizontal="right" vertical="top" wrapText="1"/>
    </xf>
    <xf numFmtId="0" fontId="0" fillId="0" borderId="0" xfId="0" applyAlignment="1">
      <alignment horizontal="right"/>
    </xf>
    <xf numFmtId="0" fontId="0" fillId="0" borderId="9" xfId="0" applyBorder="1" applyAlignment="1">
      <alignment horizontal="left" vertical="center"/>
    </xf>
    <xf numFmtId="0" fontId="1" fillId="2" borderId="18" xfId="1" applyBorder="1" applyAlignment="1">
      <alignment horizontal="center" vertical="top"/>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17" xfId="0" applyBorder="1" applyAlignment="1">
      <alignment horizontal="center" vertical="center"/>
    </xf>
    <xf numFmtId="0" fontId="0" fillId="0" borderId="0" xfId="0" applyAlignment="1">
      <alignment horizontal="center" vertical="center"/>
    </xf>
    <xf numFmtId="0" fontId="3" fillId="0" borderId="9" xfId="0" applyFont="1" applyBorder="1" applyAlignment="1">
      <alignment horizontal="center" vertical="center"/>
    </xf>
    <xf numFmtId="0" fontId="0" fillId="0" borderId="9" xfId="0" applyBorder="1" applyAlignment="1">
      <alignment horizontal="center" vertical="center"/>
    </xf>
    <xf numFmtId="0" fontId="0" fillId="0" borderId="12" xfId="0" applyBorder="1" applyAlignment="1">
      <alignment horizontal="left" vertical="center"/>
    </xf>
    <xf numFmtId="0" fontId="0" fillId="0" borderId="15" xfId="0" applyBorder="1" applyAlignment="1">
      <alignment horizontal="center" vertical="center"/>
    </xf>
    <xf numFmtId="0" fontId="0" fillId="0" borderId="16" xfId="0" applyBorder="1" applyAlignment="1">
      <alignment horizontal="left" vertical="top" wrapText="1"/>
    </xf>
    <xf numFmtId="0" fontId="0" fillId="0" borderId="17" xfId="0" applyBorder="1" applyAlignment="1">
      <alignment horizontal="left" vertical="top"/>
    </xf>
    <xf numFmtId="0" fontId="0" fillId="0" borderId="17" xfId="0" applyBorder="1" applyAlignment="1">
      <alignment horizontal="left" vertical="top" wrapText="1"/>
    </xf>
    <xf numFmtId="0" fontId="4" fillId="0" borderId="0" xfId="0" applyFont="1"/>
    <xf numFmtId="165" fontId="5" fillId="2" borderId="1" xfId="1" applyNumberFormat="1" applyFont="1" applyAlignment="1">
      <alignment horizontal="center" vertical="center" wrapText="1"/>
    </xf>
    <xf numFmtId="0" fontId="4" fillId="0" borderId="22" xfId="0" applyFont="1" applyBorder="1"/>
    <xf numFmtId="0" fontId="0" fillId="3" borderId="23" xfId="0" applyFill="1" applyBorder="1"/>
    <xf numFmtId="0" fontId="0" fillId="0" borderId="23" xfId="0" applyBorder="1"/>
    <xf numFmtId="0" fontId="9" fillId="0" borderId="0" xfId="0" applyFont="1" applyAlignment="1">
      <alignment horizontal="center"/>
    </xf>
    <xf numFmtId="166" fontId="10" fillId="0" borderId="24" xfId="5" applyNumberFormat="1" applyFont="1" applyBorder="1" applyAlignment="1">
      <alignment horizontal="center"/>
    </xf>
    <xf numFmtId="0" fontId="10" fillId="0" borderId="24" xfId="5" applyFont="1" applyBorder="1" applyAlignment="1">
      <alignment horizontal="center"/>
    </xf>
    <xf numFmtId="166" fontId="10" fillId="0" borderId="0" xfId="5" applyNumberFormat="1" applyFont="1" applyBorder="1" applyAlignment="1">
      <alignment horizontal="center"/>
    </xf>
    <xf numFmtId="0" fontId="10" fillId="0" borderId="0" xfId="5" applyFont="1" applyBorder="1" applyAlignment="1">
      <alignment horizontal="center"/>
    </xf>
    <xf numFmtId="2" fontId="9" fillId="0" borderId="0" xfId="0" applyNumberFormat="1" applyFont="1" applyAlignment="1">
      <alignment horizontal="center"/>
    </xf>
    <xf numFmtId="165" fontId="9" fillId="0" borderId="0" xfId="0" applyNumberFormat="1" applyFont="1" applyAlignment="1">
      <alignment horizontal="center"/>
    </xf>
    <xf numFmtId="166" fontId="9" fillId="0" borderId="0" xfId="0" applyNumberFormat="1" applyFont="1" applyAlignment="1">
      <alignment horizontal="center"/>
    </xf>
    <xf numFmtId="0" fontId="13" fillId="0" borderId="25" xfId="5" applyFont="1" applyBorder="1" applyAlignment="1">
      <alignment horizontal="center"/>
    </xf>
    <xf numFmtId="0" fontId="13" fillId="0" borderId="25" xfId="4" applyFont="1" applyBorder="1" applyAlignment="1">
      <alignment horizontal="center"/>
    </xf>
    <xf numFmtId="0" fontId="14" fillId="0" borderId="25" xfId="4" applyFont="1" applyBorder="1" applyAlignment="1">
      <alignment horizontal="center"/>
    </xf>
    <xf numFmtId="0" fontId="11" fillId="0" borderId="0" xfId="0" applyFont="1" applyAlignment="1">
      <alignment horizontal="center"/>
    </xf>
    <xf numFmtId="10" fontId="9" fillId="0" borderId="0" xfId="0" applyNumberFormat="1" applyFont="1" applyAlignment="1">
      <alignment horizontal="center"/>
    </xf>
    <xf numFmtId="0" fontId="9" fillId="0" borderId="0" xfId="0" applyFont="1" applyAlignment="1">
      <alignment horizontal="center" wrapText="1"/>
    </xf>
    <xf numFmtId="0" fontId="9" fillId="0" borderId="25" xfId="0" applyFont="1" applyBorder="1" applyAlignment="1">
      <alignment horizontal="center"/>
    </xf>
    <xf numFmtId="0" fontId="12" fillId="4" borderId="0" xfId="0" applyFont="1" applyFill="1" applyAlignment="1">
      <alignment horizontal="center"/>
    </xf>
    <xf numFmtId="0" fontId="12" fillId="4" borderId="0" xfId="6">
      <alignment horizontal="center"/>
    </xf>
    <xf numFmtId="0" fontId="11" fillId="0" borderId="26" xfId="3" applyFont="1" applyBorder="1" applyAlignment="1">
      <alignment horizontal="center"/>
    </xf>
    <xf numFmtId="0" fontId="11" fillId="0" borderId="26" xfId="3" applyNumberFormat="1" applyFont="1" applyBorder="1" applyAlignment="1">
      <alignment horizontal="center"/>
    </xf>
    <xf numFmtId="0" fontId="12" fillId="4" borderId="0" xfId="0" applyNumberFormat="1" applyFont="1" applyFill="1" applyBorder="1" applyAlignment="1" applyProtection="1">
      <alignment horizontal="center"/>
    </xf>
    <xf numFmtId="0" fontId="0" fillId="0" borderId="22" xfId="0" applyFont="1" applyBorder="1"/>
    <xf numFmtId="20" fontId="0" fillId="3" borderId="23" xfId="0" applyNumberFormat="1" applyFill="1" applyBorder="1"/>
    <xf numFmtId="20" fontId="0" fillId="0" borderId="23" xfId="0" applyNumberFormat="1" applyBorder="1"/>
    <xf numFmtId="0" fontId="15" fillId="0" borderId="25" xfId="4" applyFont="1" applyBorder="1" applyAlignment="1">
      <alignment horizontal="center"/>
    </xf>
    <xf numFmtId="0" fontId="9" fillId="0" borderId="0" xfId="0" applyNumberFormat="1" applyFont="1" applyAlignment="1">
      <alignment horizontal="center"/>
    </xf>
  </cellXfs>
  <cellStyles count="7">
    <cellStyle name="Heading 2" xfId="4" builtinId="17"/>
    <cellStyle name="Heading 3" xfId="5" builtinId="18"/>
    <cellStyle name="Hyperlink" xfId="2" builtinId="8"/>
    <cellStyle name="Normal" xfId="0" builtinId="0"/>
    <cellStyle name="Output" xfId="1" builtinId="21"/>
    <cellStyle name="Style 1" xfId="6" xr:uid="{6728EE7B-339C-45C3-9734-EA337A698FE9}"/>
    <cellStyle name="Total" xfId="3" builtinId="25"/>
  </cellStyles>
  <dxfs count="140">
    <dxf>
      <alignment horizontal="center" vertical="top" textRotation="0" wrapText="0" indent="0" justifyLastLine="0" shrinkToFit="0" readingOrder="0"/>
      <border diagonalUp="0" diagonalDown="0" outline="0">
        <left style="thin">
          <color rgb="FF000000"/>
        </left>
        <right style="thin">
          <color rgb="FF000000"/>
        </right>
        <top style="thin">
          <color rgb="FF000000"/>
        </top>
        <bottom/>
      </border>
    </dxf>
    <dxf>
      <alignment horizontal="center"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1" hidden="0"/>
    </dxf>
    <dxf>
      <alignment horizontal="left" vertical="top" textRotation="0" wrapText="0" indent="0" justifyLastLine="0" shrinkToFit="0" readingOrder="0"/>
      <border>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left style="thin">
          <color rgb="FF000000"/>
        </left>
        <right style="thin">
          <color rgb="FF000000"/>
        </right>
        <top style="thin">
          <color rgb="FF000000"/>
        </top>
        <bottom style="thin">
          <color rgb="FF000000"/>
        </bottom>
      </border>
    </dxf>
    <dxf>
      <alignment horizontal="center" vertical="top"/>
    </dxf>
    <dxf>
      <border>
        <bottom style="thin">
          <color rgb="FF3F3F3F"/>
        </bottom>
      </border>
    </dxf>
    <dxf>
      <font>
        <b/>
        <color rgb="FF3F3F3F"/>
      </font>
      <fill>
        <patternFill patternType="solid">
          <fgColor rgb="FFF2F2F2"/>
          <bgColor indexed="65"/>
        </patternFill>
      </fill>
      <alignment horizontal="center" vertical="top"/>
      <border diagonalUp="0" diagonalDown="0">
        <left/>
        <right/>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top" textRotation="0" wrapText="0" indent="0" justifyLastLine="0" shrinkToFit="0" readingOrder="0"/>
      <border>
        <left style="thin">
          <color rgb="FF000000"/>
        </left>
        <right/>
        <top style="thin">
          <color rgb="FF000000"/>
        </top>
        <bottom style="thin">
          <color rgb="FF000000"/>
        </bottom>
        <vertical style="thin">
          <color rgb="FF000000"/>
        </vertical>
        <horizontal style="thin">
          <color rgb="FF000000"/>
        </horizontal>
      </border>
      <protection locked="1" hidden="0"/>
    </dxf>
    <dxf>
      <fill>
        <patternFill patternType="none">
          <fgColor indexed="64"/>
          <bgColor indexed="65"/>
        </patternFill>
      </fill>
      <alignment horizontal="center" vertical="top"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top"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border>
        <left/>
        <right style="thin">
          <color rgb="FF000000"/>
        </right>
        <top style="thin">
          <color rgb="FF000000"/>
        </top>
        <bottom style="thin">
          <color rgb="FF000000"/>
        </bottom>
        <vertical style="thin">
          <color rgb="FF000000"/>
        </vertical>
        <horizontal style="thin">
          <color rgb="FF000000"/>
        </horizontal>
      </border>
      <protection locked="1" hidden="0"/>
    </dxf>
    <dxf>
      <border>
        <top style="thin">
          <color rgb="FF000000"/>
        </top>
      </border>
    </dxf>
    <dxf>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top" textRotation="0" wrapText="0" indent="0" justifyLastLine="0" shrinkToFit="0" readingOrder="0"/>
      <protection locked="1" hidden="0"/>
    </dxf>
    <dxf>
      <border>
        <bottom style="thin">
          <color rgb="FF3F3F3F"/>
        </bottom>
      </border>
    </dxf>
    <dxf>
      <font>
        <b/>
        <i val="0"/>
        <strike val="0"/>
        <condense val="0"/>
        <extend val="0"/>
        <outline val="0"/>
        <shadow val="0"/>
        <u val="none"/>
        <vertAlign val="baseline"/>
        <sz val="11"/>
        <color rgb="FF3F3F3F"/>
        <name val="Calibri"/>
        <family val="2"/>
        <scheme val="minor"/>
      </font>
      <numFmt numFmtId="0" formatCode="General"/>
      <fill>
        <patternFill patternType="solid">
          <fgColor rgb="FFF2F2F2"/>
          <bgColor indexed="65"/>
        </patternFill>
      </fill>
      <alignment horizontal="center" vertical="top" textRotation="0" wrapText="0" indent="0" justifyLastLine="0" shrinkToFit="0" readingOrder="0"/>
      <border diagonalUp="0" diagonalDown="0">
        <left/>
        <right/>
        <top/>
        <bottom/>
        <vertical/>
        <horizontal/>
      </border>
      <protection locked="1" hidden="0"/>
    </dxf>
    <dxf>
      <numFmt numFmtId="168" formatCode="dd/mm/yyyy"/>
      <alignment horizontal="center" vertical="top"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168" formatCode="dd/mm/yyyy"/>
      <alignment horizontal="center" vertical="top"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alignment horizontal="center" vertical="top"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alignment horizontal="center" vertical="top" textRotation="0" wrapText="0" indent="0" justifyLastLine="0" shrinkToFit="0" readingOrder="0"/>
    </dxf>
    <dxf>
      <border>
        <bottom style="thin">
          <color rgb="FF3F3F3F"/>
        </bottom>
      </border>
    </dxf>
    <dxf>
      <font>
        <b/>
        <color rgb="FF3F3F3F"/>
      </font>
      <fill>
        <patternFill patternType="solid">
          <fgColor rgb="FFF2F2F2"/>
          <bgColor indexed="65"/>
        </patternFill>
      </fill>
      <alignment horizontal="center" vertical="top" textRotation="0" wrapText="0" indent="0" justifyLastLine="0" shrinkToFit="0" readingOrder="0"/>
      <border diagonalUp="0" diagonalDown="0">
        <left/>
        <right/>
        <top/>
        <bottom/>
        <vertical/>
        <horizontal/>
      </border>
    </dxf>
    <dxf>
      <alignment horizontal="center" vertical="center" textRotation="0" wrapText="1" indent="0" justifyLastLine="0" shrinkToFit="0" readingOrder="0"/>
      <border diagonalUp="0" diagonalDown="0">
        <left style="medium">
          <color indexed="64"/>
        </left>
        <right/>
        <top/>
        <bottom style="medium">
          <color indexed="64"/>
        </bottom>
        <vertical/>
        <horizontal/>
      </border>
    </dxf>
    <dxf>
      <alignment horizontal="center" vertical="center" textRotation="0" wrapText="1" indent="0" justifyLastLine="0" shrinkToFit="0" readingOrder="0"/>
      <border diagonalUp="0" diagonalDown="0">
        <left style="medium">
          <color indexed="64"/>
        </left>
        <right/>
        <top/>
        <bottom style="medium">
          <color indexed="64"/>
        </bottom>
        <vertical/>
        <horizontal/>
      </border>
    </dxf>
    <dxf>
      <alignment horizontal="center" vertical="center" textRotation="0" wrapText="1" indent="0" justifyLastLine="0" shrinkToFit="0" readingOrder="0"/>
      <border diagonalUp="0" diagonalDown="0">
        <left style="medium">
          <color indexed="64"/>
        </left>
        <right/>
        <top/>
        <bottom style="medium">
          <color indexed="64"/>
        </bottom>
        <vertical/>
        <horizontal/>
      </border>
    </dxf>
    <dxf>
      <alignment horizontal="center" vertical="center" textRotation="0" wrapText="1" indent="0" justifyLastLine="0" shrinkToFit="0" readingOrder="0"/>
      <border diagonalUp="0" diagonalDown="0">
        <left/>
        <right/>
        <top/>
        <bottom style="medium">
          <color indexed="64"/>
        </bottom>
        <vertical/>
        <horizontal/>
      </border>
    </dxf>
    <dxf>
      <numFmt numFmtId="168" formatCode="dd/mm/yyyy"/>
      <alignment horizontal="center" vertical="center" textRotation="0" wrapText="1" indent="0" justifyLastLine="0" shrinkToFit="0" readingOrder="0"/>
      <border diagonalUp="0" diagonalDown="0">
        <left/>
        <right style="medium">
          <color indexed="64"/>
        </right>
        <top/>
        <bottom style="medium">
          <color indexed="64"/>
        </bottom>
        <vertical/>
        <horizontal/>
      </border>
    </dxf>
    <dxf>
      <numFmt numFmtId="165" formatCode="yyyy\-mm\-dd;@"/>
      <alignment horizontal="center" vertical="center" textRotation="0" wrapText="1" indent="0" justifyLastLine="0" shrinkToFit="0" readingOrder="0"/>
      <border diagonalUp="0" diagonalDown="0">
        <left/>
        <right style="medium">
          <color indexed="64"/>
        </right>
        <top/>
        <bottom style="medium">
          <color indexed="64"/>
        </bottom>
      </border>
    </dxf>
    <dxf>
      <numFmt numFmtId="165" formatCode="yyyy\-mm\-dd;@"/>
      <alignment horizontal="center" vertical="center" textRotation="0" wrapText="1" indent="0" justifyLastLine="0" shrinkToFit="0" readingOrder="0"/>
      <border diagonalUp="0" diagonalDown="0">
        <left/>
        <right/>
        <top/>
        <bottom style="medium">
          <color indexed="64"/>
        </bottom>
        <vertical/>
        <horizontal/>
      </border>
    </dxf>
    <dxf>
      <border outline="0">
        <left style="medium">
          <color rgb="FF000000"/>
        </left>
        <top style="medium">
          <color rgb="FF000000"/>
        </top>
      </border>
    </dxf>
    <dxf>
      <alignment horizontal="center" vertical="center" textRotation="0" wrapText="1" indent="0" justifyLastLine="0" shrinkToFit="0" readingOrder="0"/>
    </dxf>
    <dxf>
      <border>
        <bottom style="thin">
          <color rgb="FF3F3F3F"/>
        </bottom>
      </border>
    </dxf>
    <dxf>
      <font>
        <b/>
        <color rgb="FF3F3F3F"/>
      </font>
      <fill>
        <patternFill patternType="solid">
          <fgColor rgb="FFF2F2F2"/>
          <bgColor indexed="65"/>
        </patternFill>
      </fill>
      <alignment horizontal="center" vertical="center" textRotation="0" wrapText="1" indent="0" justifyLastLine="0" shrinkToFit="0" readingOrder="0"/>
      <border diagonalUp="0" diagonalDown="0">
        <left/>
        <right/>
        <top/>
        <bottom/>
        <vertical/>
        <horizontal/>
      </border>
    </dxf>
    <dxf>
      <font>
        <strike val="0"/>
        <outline val="0"/>
        <shadow val="0"/>
        <u val="none"/>
        <vertAlign val="baseline"/>
        <sz val="9"/>
        <name val="Calibri"/>
        <family val="2"/>
        <scheme val="minor"/>
      </font>
      <numFmt numFmtId="0" formatCode="General"/>
      <alignment horizontal="center" vertical="bottom" textRotation="0" indent="0" justifyLastLine="0" shrinkToFit="0" readingOrder="0"/>
    </dxf>
    <dxf>
      <font>
        <strike val="0"/>
        <outline val="0"/>
        <shadow val="0"/>
        <u val="none"/>
        <vertAlign val="baseline"/>
        <sz val="9"/>
        <name val="Calibri"/>
        <family val="2"/>
        <scheme val="minor"/>
      </font>
      <alignment horizontal="center" vertical="bottom" textRotation="0" indent="0" justifyLastLine="0" shrinkToFit="0" readingOrder="0"/>
    </dxf>
    <dxf>
      <font>
        <strike val="0"/>
        <outline val="0"/>
        <shadow val="0"/>
        <u val="none"/>
        <vertAlign val="baseline"/>
        <sz val="9"/>
        <name val="Calibri"/>
        <family val="2"/>
        <scheme val="minor"/>
      </font>
      <alignment horizontal="center" vertical="bottom" textRotation="0" indent="0" justifyLastLine="0" shrinkToFit="0" readingOrder="0"/>
    </dxf>
    <dxf>
      <font>
        <strike val="0"/>
        <outline val="0"/>
        <shadow val="0"/>
        <u val="none"/>
        <vertAlign val="baseline"/>
        <sz val="9"/>
        <name val="Calibri"/>
        <family val="2"/>
        <scheme val="minor"/>
      </font>
      <alignment horizontal="center" vertical="bottom" textRotation="0" indent="0" justifyLastLine="0" shrinkToFit="0" readingOrder="0"/>
    </dxf>
    <dxf>
      <border outline="0">
        <top style="thin">
          <color theme="4"/>
        </top>
      </border>
    </dxf>
    <dxf>
      <border outline="0">
        <top style="thin">
          <color rgb="FF3F3F3F"/>
        </top>
        <bottom style="double">
          <color theme="4"/>
        </bottom>
      </border>
    </dxf>
    <dxf>
      <font>
        <strike val="0"/>
        <outline val="0"/>
        <shadow val="0"/>
        <u val="none"/>
        <vertAlign val="baseline"/>
        <sz val="9"/>
        <name val="Calibri"/>
        <family val="2"/>
        <scheme val="minor"/>
      </font>
      <alignment horizontal="center" vertical="bottom" textRotation="0" indent="0" justifyLastLine="0" shrinkToFit="0" readingOrder="0"/>
    </dxf>
    <dxf>
      <font>
        <strike val="0"/>
        <outline val="0"/>
        <shadow val="0"/>
        <u val="none"/>
        <vertAlign val="baseline"/>
        <sz val="9"/>
        <name val="Calibri"/>
        <family val="2"/>
        <scheme val="minor"/>
      </font>
      <numFmt numFmtId="0" formatCode="General"/>
      <alignment horizontal="center" vertical="bottom" textRotation="0" indent="0" justifyLastLine="0" shrinkToFit="0" readingOrder="0"/>
    </dxf>
    <dxf>
      <font>
        <strike val="0"/>
        <outline val="0"/>
        <shadow val="0"/>
        <u val="none"/>
        <vertAlign val="baseline"/>
        <sz val="9"/>
        <name val="Calibri"/>
        <family val="2"/>
        <scheme val="minor"/>
      </font>
      <alignment horizontal="center" vertical="bottom" textRotation="0" indent="0" justifyLastLine="0" shrinkToFit="0" readingOrder="0"/>
    </dxf>
    <dxf>
      <font>
        <strike val="0"/>
        <outline val="0"/>
        <shadow val="0"/>
        <u val="none"/>
        <vertAlign val="baseline"/>
        <sz val="9"/>
        <name val="Calibri"/>
        <family val="2"/>
        <scheme val="minor"/>
      </font>
      <alignment horizontal="center" vertical="bottom" textRotation="0" indent="0" justifyLastLine="0" shrinkToFit="0" readingOrder="0"/>
    </dxf>
    <dxf>
      <font>
        <strike val="0"/>
        <outline val="0"/>
        <shadow val="0"/>
        <u val="none"/>
        <vertAlign val="baseline"/>
        <sz val="9"/>
        <name val="Calibri"/>
        <family val="2"/>
        <scheme val="minor"/>
      </font>
      <alignment horizontal="center" vertical="bottom" textRotation="0" indent="0" justifyLastLine="0" shrinkToFit="0" readingOrder="0"/>
    </dxf>
    <dxf>
      <font>
        <strike val="0"/>
        <outline val="0"/>
        <shadow val="0"/>
        <u val="none"/>
        <vertAlign val="baseline"/>
        <sz val="9"/>
        <name val="Calibri"/>
        <family val="2"/>
        <scheme val="minor"/>
      </font>
      <alignment horizontal="center" vertical="bottom" textRotation="0" indent="0" justifyLastLine="0" shrinkToFit="0" readingOrder="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alignment horizontal="center"/>
    </dxf>
    <dxf>
      <alignment horizontal="center"/>
    </dxf>
    <dxf>
      <alignment horizontal="center"/>
    </dxf>
    <dxf>
      <alignment horizontal="center"/>
    </dxf>
    <dxf>
      <font>
        <sz val="9"/>
      </font>
    </dxf>
    <dxf>
      <font>
        <sz val="9"/>
      </font>
    </dxf>
    <dxf>
      <font>
        <sz val="9"/>
      </font>
    </dxf>
    <dxf>
      <font>
        <sz val="9"/>
      </font>
    </dxf>
    <dxf>
      <alignment wrapText="1"/>
    </dxf>
    <dxf>
      <alignment wrapText="1"/>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alignment horizontal="center"/>
    </dxf>
    <dxf>
      <alignment horizontal="center"/>
    </dxf>
    <dxf>
      <font>
        <sz val="9"/>
      </font>
    </dxf>
    <dxf>
      <font>
        <sz val="9"/>
      </font>
    </dxf>
    <dxf>
      <font>
        <b val="0"/>
        <i val="0"/>
        <strike val="0"/>
        <condense val="0"/>
        <extend val="0"/>
        <outline val="0"/>
        <shadow val="0"/>
        <u val="none"/>
        <vertAlign val="baseline"/>
        <sz val="11"/>
        <color theme="0"/>
        <name val="Calibri"/>
        <family val="2"/>
        <scheme val="minor"/>
      </font>
      <fill>
        <patternFill patternType="solid">
          <fgColor indexed="65"/>
          <bgColor theme="4"/>
        </patternFill>
      </fill>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font>
        <sz val="9"/>
      </font>
    </dxf>
    <dxf>
      <numFmt numFmtId="166" formatCode="_(* #,##0_);_(* \(#,##0\);_(* &quot;-&quot;??_);_(@_)"/>
    </dxf>
    <dxf>
      <numFmt numFmtId="165" formatCode="yyyy\-mm\-dd;@"/>
    </dxf>
    <dxf>
      <numFmt numFmtId="166" formatCode="_(* #,##0_);_(* \(#,##0\);_(* &quot;-&quot;??_);_(@_)"/>
    </dxf>
    <dxf>
      <numFmt numFmtId="164" formatCode="_(* #,##0.00_);_(* \(#,##0.00\);_(* &quot;-&quot;??_);_(@_)"/>
    </dxf>
    <dxf>
      <alignment horizontal="left"/>
    </dxf>
    <dxf>
      <alignment horizontal="left"/>
    </dxf>
    <dxf>
      <alignment horizontal="center"/>
    </dxf>
    <dxf>
      <alignment horizontal="center"/>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alignment horizontal="center"/>
    </dxf>
    <dxf>
      <alignment horizontal="center"/>
    </dxf>
    <dxf>
      <alignment horizontal="center"/>
    </dxf>
    <dxf>
      <alignment horizontal="center"/>
    </dxf>
    <dxf>
      <font>
        <sz val="9"/>
      </font>
    </dxf>
    <dxf>
      <font>
        <sz val="9"/>
      </font>
    </dxf>
    <dxf>
      <font>
        <sz val="9"/>
      </font>
    </dxf>
    <dxf>
      <font>
        <sz val="9"/>
      </font>
    </dxf>
    <dxf>
      <alignment horizontal="center"/>
    </dxf>
    <dxf>
      <numFmt numFmtId="2" formatCode="0.00"/>
    </dxf>
    <dxf>
      <alignment horizontal="center"/>
    </dxf>
    <dxf>
      <alignment horizontal="center"/>
    </dxf>
    <dxf>
      <alignment horizontal="left"/>
    </dxf>
    <dxf>
      <alignment horizontal="left"/>
    </dxf>
    <dxf>
      <numFmt numFmtId="167" formatCode="0.0"/>
    </dxf>
    <dxf>
      <numFmt numFmtId="2" formatCode="0.0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alignment horizontal="center"/>
    </dxf>
    <dxf>
      <alignment horizontal="center"/>
    </dxf>
    <dxf>
      <alignment horizontal="center"/>
    </dxf>
    <dxf>
      <alignment horizontal="center"/>
    </dxf>
    <dxf>
      <font>
        <sz val="9"/>
      </font>
    </dxf>
    <dxf>
      <font>
        <sz val="9"/>
      </font>
    </dxf>
    <dxf>
      <font>
        <sz val="9"/>
      </font>
    </dxf>
    <dxf>
      <font>
        <sz val="9"/>
      </font>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9"/>
        <color theme="0"/>
        <name val="Calibri"/>
        <family val="2"/>
        <scheme val="minor"/>
      </font>
      <numFmt numFmtId="0" formatCode="General"/>
      <fill>
        <patternFill patternType="solid">
          <fgColor indexed="64"/>
          <bgColor rgb="FF72615A"/>
        </patternFill>
      </fill>
      <alignment horizontal="center" vertical="bottom" textRotation="0" wrapText="0" indent="0" justifyLastLine="0" shrinkToFit="0" readingOrder="0"/>
      <border diagonalUp="0" diagonalDown="0" outline="0">
        <left/>
        <right/>
        <top/>
        <bottom/>
      </border>
      <protection locked="1" hidden="0"/>
    </dxf>
    <dxf>
      <alignment horizontal="center"/>
    </dxf>
    <dxf>
      <alignment horizontal="center"/>
    </dxf>
    <dxf>
      <alignment horizontal="center"/>
    </dxf>
    <dxf>
      <alignment horizontal="center"/>
    </dxf>
    <dxf>
      <font>
        <sz val="9"/>
      </font>
    </dxf>
    <dxf>
      <font>
        <sz val="9"/>
      </font>
    </dxf>
    <dxf>
      <font>
        <sz val="9"/>
      </font>
    </dxf>
    <dxf>
      <font>
        <sz val="9"/>
      </font>
    </dxf>
    <dxf>
      <font>
        <b/>
        <i val="0"/>
        <strike val="0"/>
        <sz val="8"/>
        <color theme="1"/>
      </font>
      <fill>
        <patternFill patternType="solid">
          <bgColor rgb="FFEFEDED"/>
        </patternFill>
      </fill>
      <border diagonalUp="0" diagonalDown="0">
        <left/>
        <right/>
        <top/>
        <bottom/>
        <vertical/>
        <horizontal/>
      </border>
    </dxf>
    <dxf>
      <fill>
        <patternFill>
          <bgColor theme="2"/>
        </patternFill>
      </fill>
      <border diagonalUp="0" diagonalDown="0">
        <left/>
        <right/>
        <top/>
        <bottom/>
        <vertical/>
        <horizontal/>
      </border>
    </dxf>
    <dxf>
      <font>
        <b/>
        <i val="0"/>
        <strike val="0"/>
        <sz val="6"/>
        <color theme="1"/>
      </font>
      <fill>
        <patternFill patternType="solid">
          <bgColor rgb="FFEFEDED"/>
        </patternFill>
      </fill>
      <border diagonalUp="0" diagonalDown="0">
        <left/>
        <right/>
        <top/>
        <bottom/>
        <vertical/>
        <horizontal/>
      </border>
    </dxf>
  </dxfs>
  <tableStyles count="5" defaultTableStyle="TableStyleMedium2" defaultPivotStyle="PivotStyleMedium9">
    <tableStyle name="022" pivot="0" table="0" count="5" xr9:uid="{2D0B6D38-BB2D-4B85-B4D5-C26522986813}">
      <tableStyleElement type="wholeTable" dxfId="139"/>
    </tableStyle>
    <tableStyle name="Slicer Style 1" pivot="0" table="0" count="1" xr9:uid="{69750369-43AE-4E6C-AFDE-759B645087E6}"/>
    <tableStyle name="Slicer Style 2" pivot="0" table="0" count="1" xr9:uid="{BCB8AC1C-2500-4ABE-A350-A8B5FB076CA8}">
      <tableStyleElement type="headerRow" dxfId="138"/>
    </tableStyle>
    <tableStyle name="Slicer Style 3" pivot="0" table="0" count="1" xr9:uid="{CE4EA12E-F59A-41A4-A16F-5878EAD8FD3A}"/>
    <tableStyle name="Slicer Style222 2" pivot="0" table="0" count="5" xr9:uid="{6C47A234-8187-4EFD-9100-2CDD38B819E2}">
      <tableStyleElement type="wholeTable" dxfId="137"/>
    </tableStyle>
  </tableStyles>
  <colors>
    <mruColors>
      <color rgb="FF000000"/>
      <color rgb="FF594B45"/>
      <color rgb="FF72615A"/>
      <color rgb="FF87D7A3"/>
      <color rgb="FFFFFCF3"/>
      <color rgb="FFBDB4B5"/>
      <color rgb="FF3F3531"/>
      <color rgb="FFF4F2F2"/>
      <color rgb="FFD4D0CF"/>
      <color rgb="FFCCC6C7"/>
    </mruColors>
  </colors>
  <extLst>
    <ext xmlns:x14="http://schemas.microsoft.com/office/spreadsheetml/2009/9/main" uri="{46F421CA-312F-682f-3DD2-61675219B42D}">
      <x14:dxfs count="10">
        <dxf>
          <fill>
            <patternFill>
              <bgColor theme="7" tint="0.59996337778862885"/>
            </patternFill>
          </fill>
        </dxf>
        <dxf>
          <fill>
            <patternFill>
              <bgColor theme="7" tint="0.59996337778862885"/>
            </patternFill>
          </fill>
        </dxf>
        <dxf>
          <fill>
            <patternFill>
              <bgColor rgb="FFCCC6C7"/>
            </patternFill>
          </fill>
        </dxf>
        <dxf>
          <fill>
            <patternFill patternType="none">
              <bgColor auto="1"/>
            </patternFill>
          </fill>
        </dxf>
        <dxf>
          <fill>
            <patternFill>
              <bgColor rgb="FFBDB4B5"/>
            </patternFill>
          </fill>
        </dxf>
        <dxf>
          <font>
            <sz val="8"/>
          </font>
        </dxf>
        <dxf>
          <fill>
            <patternFill>
              <bgColor theme="7" tint="0.59996337778862885"/>
            </patternFill>
          </fill>
        </dxf>
        <dxf>
          <fill>
            <patternFill>
              <bgColor theme="7" tint="0.59996337778862885"/>
            </patternFill>
          </fill>
        </dxf>
        <dxf>
          <fill>
            <patternFill>
              <bgColor rgb="FFCCC6C7"/>
            </patternFill>
          </fill>
        </dxf>
        <dxf>
          <fill>
            <patternFill patternType="none">
              <bgColor auto="1"/>
            </patternFill>
          </fill>
        </dxf>
      </x14:dxfs>
    </ext>
    <ext xmlns:x14="http://schemas.microsoft.com/office/spreadsheetml/2009/9/main" uri="{EB79DEF2-80B8-43e5-95BD-54CBDDF9020C}">
      <x14:slicerStyles defaultSlicerStyle="SlicerStyleLight1">
        <x14:slicerStyle name="022">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1">
          <x14:slicerStyleElements>
            <x14:slicerStyleElement type="unselectedItemWithData" dxfId="5"/>
          </x14:slicerStyleElements>
        </x14:slicerStyle>
        <x14:slicerStyle name="Slicer Style 2"/>
        <x14:slicerStyle name="Slicer Style 3">
          <x14:slicerStyleElements>
            <x14:slicerStyleElement type="unselectedItemWithData" dxfId="4"/>
          </x14:slicerStyleElements>
        </x14:slicerStyle>
        <x14:slicerStyle name="Slicer Style222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[2024 Beneficiary king fahad library Analysis .xlsm]pivottables!PivotTable2</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4">
              <a:lumMod val="60000"/>
              <a:lumOff val="40000"/>
            </a:schemeClr>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4">
              <a:lumMod val="40000"/>
              <a:lumOff val="60000"/>
            </a:schemeClr>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4">
              <a:lumMod val="20000"/>
              <a:lumOff val="80000"/>
            </a:schemeClr>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rgbClr val="FFFCF3"/>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rgbClr val="BDB4B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rgbClr val="BDB4B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4"/>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4">
              <a:shade val="47000"/>
            </a:schemeClr>
          </a:solidFill>
          <a:ln>
            <a:noFill/>
          </a:ln>
          <a:effectLst>
            <a:outerShdw blurRad="63500" sx="102000" sy="102000" algn="ctr" rotWithShape="0">
              <a:prstClr val="black">
                <a:alpha val="40000"/>
              </a:prstClr>
            </a:outerShdw>
          </a:effectLst>
        </c:spPr>
      </c:pivotFmt>
      <c:pivotFmt>
        <c:idx val="86"/>
        <c:spPr>
          <a:solidFill>
            <a:srgbClr val="BDB4B5"/>
          </a:solidFill>
          <a:ln>
            <a:noFill/>
          </a:ln>
          <a:effectLst/>
        </c:spPr>
      </c:pivotFmt>
      <c:pivotFmt>
        <c:idx val="87"/>
        <c:spPr>
          <a:solidFill>
            <a:srgbClr val="BDB4B5"/>
          </a:solidFill>
          <a:ln>
            <a:noFill/>
          </a:ln>
          <a:effectLst/>
        </c:spPr>
      </c:pivotFmt>
      <c:pivotFmt>
        <c:idx val="88"/>
        <c:spPr>
          <a:solidFill>
            <a:srgbClr val="BDB4B5"/>
          </a:solidFill>
          <a:ln>
            <a:noFill/>
          </a:ln>
          <a:effectLst/>
        </c:spPr>
      </c:pivotFmt>
    </c:pivotFmts>
    <c:plotArea>
      <c:layout>
        <c:manualLayout>
          <c:layoutTarget val="inner"/>
          <c:xMode val="edge"/>
          <c:yMode val="edge"/>
          <c:x val="3.3072050204250782E-2"/>
          <c:y val="0.28174462218499624"/>
          <c:w val="0.90621477550738549"/>
          <c:h val="0.55248203319159606"/>
        </c:manualLayout>
      </c:layout>
      <c:barChart>
        <c:barDir val="col"/>
        <c:grouping val="clustered"/>
        <c:varyColors val="0"/>
        <c:ser>
          <c:idx val="0"/>
          <c:order val="0"/>
          <c:tx>
            <c:strRef>
              <c:f>pivottables!$C$12:$C$13</c:f>
              <c:strCache>
                <c:ptCount val="1"/>
                <c:pt idx="0">
                  <c:v>Sun</c:v>
                </c:pt>
              </c:strCache>
            </c:strRef>
          </c:tx>
          <c:spPr>
            <a:solidFill>
              <a:schemeClr val="accent4">
                <a:shade val="47000"/>
              </a:schemeClr>
            </a:solidFill>
            <a:ln>
              <a:noFill/>
            </a:ln>
            <a:effectLst>
              <a:outerShdw blurRad="63500" sx="102000" sy="102000" algn="ctr" rotWithShape="0">
                <a:prstClr val="black">
                  <a:alpha val="40000"/>
                </a:prstClr>
              </a:outerShdw>
            </a:effectLst>
          </c:spPr>
          <c:invertIfNegative val="0"/>
          <c:cat>
            <c:strRef>
              <c:f>pivottables!$B$14:$B$18</c:f>
              <c:strCache>
                <c:ptCount val="4"/>
                <c:pt idx="0">
                  <c:v>Q1</c:v>
                </c:pt>
                <c:pt idx="1">
                  <c:v>Q2</c:v>
                </c:pt>
                <c:pt idx="2">
                  <c:v>Q3</c:v>
                </c:pt>
                <c:pt idx="3">
                  <c:v>Q4</c:v>
                </c:pt>
              </c:strCache>
            </c:strRef>
          </c:cat>
          <c:val>
            <c:numRef>
              <c:f>pivottables!$C$14:$C$18</c:f>
              <c:numCache>
                <c:formatCode>0.00</c:formatCode>
                <c:ptCount val="4"/>
                <c:pt idx="0">
                  <c:v>473.76923076923077</c:v>
                </c:pt>
                <c:pt idx="1">
                  <c:v>659.7</c:v>
                </c:pt>
                <c:pt idx="2">
                  <c:v>638.75</c:v>
                </c:pt>
                <c:pt idx="3">
                  <c:v>818.23076923076928</c:v>
                </c:pt>
              </c:numCache>
            </c:numRef>
          </c:val>
          <c:extLst>
            <c:ext xmlns:c16="http://schemas.microsoft.com/office/drawing/2014/chart" uri="{C3380CC4-5D6E-409C-BE32-E72D297353CC}">
              <c16:uniqueId val="{00000000-8752-4C8F-A8A6-CC26BE71E195}"/>
            </c:ext>
          </c:extLst>
        </c:ser>
        <c:ser>
          <c:idx val="1"/>
          <c:order val="1"/>
          <c:tx>
            <c:strRef>
              <c:f>pivottables!$D$12:$D$13</c:f>
              <c:strCache>
                <c:ptCount val="1"/>
                <c:pt idx="0">
                  <c:v>Mon</c:v>
                </c:pt>
              </c:strCache>
            </c:strRef>
          </c:tx>
          <c:spPr>
            <a:solidFill>
              <a:schemeClr val="accent4">
                <a:lumMod val="60000"/>
                <a:lumOff val="40000"/>
              </a:schemeClr>
            </a:solidFill>
            <a:ln>
              <a:noFill/>
            </a:ln>
            <a:effectLst>
              <a:outerShdw blurRad="63500" sx="102000" sy="102000" algn="ctr" rotWithShape="0">
                <a:prstClr val="black">
                  <a:alpha val="40000"/>
                </a:prstClr>
              </a:outerShdw>
            </a:effectLst>
          </c:spPr>
          <c:invertIfNegative val="0"/>
          <c:cat>
            <c:strRef>
              <c:f>pivottables!$B$14:$B$18</c:f>
              <c:strCache>
                <c:ptCount val="4"/>
                <c:pt idx="0">
                  <c:v>Q1</c:v>
                </c:pt>
                <c:pt idx="1">
                  <c:v>Q2</c:v>
                </c:pt>
                <c:pt idx="2">
                  <c:v>Q3</c:v>
                </c:pt>
                <c:pt idx="3">
                  <c:v>Q4</c:v>
                </c:pt>
              </c:strCache>
            </c:strRef>
          </c:cat>
          <c:val>
            <c:numRef>
              <c:f>pivottables!$D$14:$D$18</c:f>
              <c:numCache>
                <c:formatCode>0.00</c:formatCode>
                <c:ptCount val="4"/>
                <c:pt idx="0">
                  <c:v>447.23076923076923</c:v>
                </c:pt>
                <c:pt idx="1">
                  <c:v>602.09090909090912</c:v>
                </c:pt>
                <c:pt idx="2">
                  <c:v>614.30769230769226</c:v>
                </c:pt>
                <c:pt idx="3">
                  <c:v>801.30769230769226</c:v>
                </c:pt>
              </c:numCache>
            </c:numRef>
          </c:val>
          <c:extLst>
            <c:ext xmlns:c16="http://schemas.microsoft.com/office/drawing/2014/chart" uri="{C3380CC4-5D6E-409C-BE32-E72D297353CC}">
              <c16:uniqueId val="{00000030-AE2F-4180-A0DF-6A3DE53794E5}"/>
            </c:ext>
          </c:extLst>
        </c:ser>
        <c:ser>
          <c:idx val="2"/>
          <c:order val="2"/>
          <c:tx>
            <c:strRef>
              <c:f>pivottables!$E$12:$E$13</c:f>
              <c:strCache>
                <c:ptCount val="1"/>
                <c:pt idx="0">
                  <c:v>Tues</c:v>
                </c:pt>
              </c:strCache>
            </c:strRef>
          </c:tx>
          <c:spPr>
            <a:solidFill>
              <a:schemeClr val="accent4">
                <a:lumMod val="40000"/>
                <a:lumOff val="60000"/>
              </a:schemeClr>
            </a:solidFill>
            <a:ln>
              <a:noFill/>
            </a:ln>
            <a:effectLst>
              <a:outerShdw blurRad="63500" sx="102000" sy="102000" algn="ctr" rotWithShape="0">
                <a:prstClr val="black">
                  <a:alpha val="40000"/>
                </a:prstClr>
              </a:outerShdw>
            </a:effectLst>
          </c:spPr>
          <c:invertIfNegative val="0"/>
          <c:cat>
            <c:strRef>
              <c:f>pivottables!$B$14:$B$18</c:f>
              <c:strCache>
                <c:ptCount val="4"/>
                <c:pt idx="0">
                  <c:v>Q1</c:v>
                </c:pt>
                <c:pt idx="1">
                  <c:v>Q2</c:v>
                </c:pt>
                <c:pt idx="2">
                  <c:v>Q3</c:v>
                </c:pt>
                <c:pt idx="3">
                  <c:v>Q4</c:v>
                </c:pt>
              </c:strCache>
            </c:strRef>
          </c:cat>
          <c:val>
            <c:numRef>
              <c:f>pivottables!$E$14:$E$18</c:f>
              <c:numCache>
                <c:formatCode>0.00</c:formatCode>
                <c:ptCount val="4"/>
                <c:pt idx="0">
                  <c:v>436.92307692307691</c:v>
                </c:pt>
                <c:pt idx="1">
                  <c:v>637.9</c:v>
                </c:pt>
                <c:pt idx="2">
                  <c:v>597.92307692307691</c:v>
                </c:pt>
                <c:pt idx="3">
                  <c:v>756.14285714285711</c:v>
                </c:pt>
              </c:numCache>
            </c:numRef>
          </c:val>
          <c:extLst>
            <c:ext xmlns:c16="http://schemas.microsoft.com/office/drawing/2014/chart" uri="{C3380CC4-5D6E-409C-BE32-E72D297353CC}">
              <c16:uniqueId val="{00000031-AE2F-4180-A0DF-6A3DE53794E5}"/>
            </c:ext>
          </c:extLst>
        </c:ser>
        <c:ser>
          <c:idx val="3"/>
          <c:order val="3"/>
          <c:tx>
            <c:strRef>
              <c:f>pivottables!$F$12:$F$13</c:f>
              <c:strCache>
                <c:ptCount val="1"/>
                <c:pt idx="0">
                  <c:v>Wed</c:v>
                </c:pt>
              </c:strCache>
            </c:strRef>
          </c:tx>
          <c:spPr>
            <a:solidFill>
              <a:schemeClr val="accent4">
                <a:lumMod val="20000"/>
                <a:lumOff val="80000"/>
              </a:schemeClr>
            </a:solidFill>
            <a:ln>
              <a:noFill/>
            </a:ln>
            <a:effectLst>
              <a:outerShdw blurRad="63500" sx="102000" sy="102000" algn="ctr" rotWithShape="0">
                <a:prstClr val="black">
                  <a:alpha val="40000"/>
                </a:prstClr>
              </a:outerShdw>
            </a:effectLst>
          </c:spPr>
          <c:invertIfNegative val="0"/>
          <c:cat>
            <c:strRef>
              <c:f>pivottables!$B$14:$B$18</c:f>
              <c:strCache>
                <c:ptCount val="4"/>
                <c:pt idx="0">
                  <c:v>Q1</c:v>
                </c:pt>
                <c:pt idx="1">
                  <c:v>Q2</c:v>
                </c:pt>
                <c:pt idx="2">
                  <c:v>Q3</c:v>
                </c:pt>
                <c:pt idx="3">
                  <c:v>Q4</c:v>
                </c:pt>
              </c:strCache>
            </c:strRef>
          </c:cat>
          <c:val>
            <c:numRef>
              <c:f>pivottables!$F$14:$F$18</c:f>
              <c:numCache>
                <c:formatCode>0.00</c:formatCode>
                <c:ptCount val="4"/>
                <c:pt idx="0">
                  <c:v>437.61538461538464</c:v>
                </c:pt>
                <c:pt idx="1">
                  <c:v>632.79999999999995</c:v>
                </c:pt>
                <c:pt idx="2">
                  <c:v>611.84615384615381</c:v>
                </c:pt>
                <c:pt idx="3">
                  <c:v>792.84615384615381</c:v>
                </c:pt>
              </c:numCache>
            </c:numRef>
          </c:val>
          <c:extLst>
            <c:ext xmlns:c16="http://schemas.microsoft.com/office/drawing/2014/chart" uri="{C3380CC4-5D6E-409C-BE32-E72D297353CC}">
              <c16:uniqueId val="{00000032-AE2F-4180-A0DF-6A3DE53794E5}"/>
            </c:ext>
          </c:extLst>
        </c:ser>
        <c:ser>
          <c:idx val="4"/>
          <c:order val="4"/>
          <c:tx>
            <c:strRef>
              <c:f>pivottables!$G$12:$G$13</c:f>
              <c:strCache>
                <c:ptCount val="1"/>
                <c:pt idx="0">
                  <c:v>Thurs</c:v>
                </c:pt>
              </c:strCache>
            </c:strRef>
          </c:tx>
          <c:spPr>
            <a:solidFill>
              <a:srgbClr val="FFFCF3"/>
            </a:solidFill>
            <a:ln>
              <a:noFill/>
            </a:ln>
            <a:effectLst>
              <a:outerShdw blurRad="63500" sx="102000" sy="102000" algn="ctr" rotWithShape="0">
                <a:prstClr val="black">
                  <a:alpha val="40000"/>
                </a:prstClr>
              </a:outerShdw>
            </a:effectLst>
          </c:spPr>
          <c:invertIfNegative val="0"/>
          <c:cat>
            <c:strRef>
              <c:f>pivottables!$B$14:$B$18</c:f>
              <c:strCache>
                <c:ptCount val="4"/>
                <c:pt idx="0">
                  <c:v>Q1</c:v>
                </c:pt>
                <c:pt idx="1">
                  <c:v>Q2</c:v>
                </c:pt>
                <c:pt idx="2">
                  <c:v>Q3</c:v>
                </c:pt>
                <c:pt idx="3">
                  <c:v>Q4</c:v>
                </c:pt>
              </c:strCache>
            </c:strRef>
          </c:cat>
          <c:val>
            <c:numRef>
              <c:f>pivottables!$G$14:$G$18</c:f>
              <c:numCache>
                <c:formatCode>0.00</c:formatCode>
                <c:ptCount val="4"/>
                <c:pt idx="0">
                  <c:v>412.08333333333331</c:v>
                </c:pt>
                <c:pt idx="1">
                  <c:v>707.88888888888891</c:v>
                </c:pt>
                <c:pt idx="2">
                  <c:v>606.92307692307691</c:v>
                </c:pt>
                <c:pt idx="3">
                  <c:v>739.76923076923072</c:v>
                </c:pt>
              </c:numCache>
            </c:numRef>
          </c:val>
          <c:extLst>
            <c:ext xmlns:c16="http://schemas.microsoft.com/office/drawing/2014/chart" uri="{C3380CC4-5D6E-409C-BE32-E72D297353CC}">
              <c16:uniqueId val="{00000033-AE2F-4180-A0DF-6A3DE53794E5}"/>
            </c:ext>
          </c:extLst>
        </c:ser>
        <c:ser>
          <c:idx val="5"/>
          <c:order val="5"/>
          <c:tx>
            <c:strRef>
              <c:f>pivottables!$H$12:$H$13</c:f>
              <c:strCache>
                <c:ptCount val="1"/>
                <c:pt idx="0">
                  <c:v>Fri</c:v>
                </c:pt>
              </c:strCache>
            </c:strRef>
          </c:tx>
          <c:spPr>
            <a:solidFill>
              <a:srgbClr val="BDB4B5"/>
            </a:solidFill>
            <a:ln>
              <a:noFill/>
            </a:ln>
            <a:effectLst/>
          </c:spPr>
          <c:invertIfNegative val="0"/>
          <c:cat>
            <c:strRef>
              <c:f>pivottables!$B$14:$B$18</c:f>
              <c:strCache>
                <c:ptCount val="4"/>
                <c:pt idx="0">
                  <c:v>Q1</c:v>
                </c:pt>
                <c:pt idx="1">
                  <c:v>Q2</c:v>
                </c:pt>
                <c:pt idx="2">
                  <c:v>Q3</c:v>
                </c:pt>
                <c:pt idx="3">
                  <c:v>Q4</c:v>
                </c:pt>
              </c:strCache>
            </c:strRef>
          </c:cat>
          <c:val>
            <c:numRef>
              <c:f>pivottables!$H$14:$H$18</c:f>
              <c:numCache>
                <c:formatCode>0.00</c:formatCode>
                <c:ptCount val="4"/>
                <c:pt idx="3">
                  <c:v>2</c:v>
                </c:pt>
              </c:numCache>
            </c:numRef>
          </c:val>
          <c:extLst>
            <c:ext xmlns:c16="http://schemas.microsoft.com/office/drawing/2014/chart" uri="{C3380CC4-5D6E-409C-BE32-E72D297353CC}">
              <c16:uniqueId val="{00000034-AE2F-4180-A0DF-6A3DE53794E5}"/>
            </c:ext>
          </c:extLst>
        </c:ser>
        <c:ser>
          <c:idx val="6"/>
          <c:order val="6"/>
          <c:tx>
            <c:strRef>
              <c:f>pivottables!$I$12:$I$13</c:f>
              <c:strCache>
                <c:ptCount val="1"/>
                <c:pt idx="0">
                  <c:v>Sat</c:v>
                </c:pt>
              </c:strCache>
            </c:strRef>
          </c:tx>
          <c:spPr>
            <a:solidFill>
              <a:srgbClr val="BDB4B5"/>
            </a:solidFill>
            <a:ln>
              <a:noFill/>
            </a:ln>
            <a:effectLst/>
          </c:spPr>
          <c:invertIfNegative val="0"/>
          <c:cat>
            <c:strRef>
              <c:f>pivottables!$B$14:$B$18</c:f>
              <c:strCache>
                <c:ptCount val="4"/>
                <c:pt idx="0">
                  <c:v>Q1</c:v>
                </c:pt>
                <c:pt idx="1">
                  <c:v>Q2</c:v>
                </c:pt>
                <c:pt idx="2">
                  <c:v>Q3</c:v>
                </c:pt>
                <c:pt idx="3">
                  <c:v>Q4</c:v>
                </c:pt>
              </c:strCache>
            </c:strRef>
          </c:cat>
          <c:val>
            <c:numRef>
              <c:f>pivottables!$I$14:$I$18</c:f>
              <c:numCache>
                <c:formatCode>0.00</c:formatCode>
                <c:ptCount val="4"/>
                <c:pt idx="1">
                  <c:v>1</c:v>
                </c:pt>
                <c:pt idx="3">
                  <c:v>1</c:v>
                </c:pt>
              </c:numCache>
            </c:numRef>
          </c:val>
          <c:extLst>
            <c:ext xmlns:c16="http://schemas.microsoft.com/office/drawing/2014/chart" uri="{C3380CC4-5D6E-409C-BE32-E72D297353CC}">
              <c16:uniqueId val="{00000035-AE2F-4180-A0DF-6A3DE53794E5}"/>
            </c:ext>
          </c:extLst>
        </c:ser>
        <c:dLbls>
          <c:showLegendKey val="0"/>
          <c:showVal val="0"/>
          <c:showCatName val="0"/>
          <c:showSerName val="0"/>
          <c:showPercent val="0"/>
          <c:showBubbleSize val="0"/>
        </c:dLbls>
        <c:gapWidth val="219"/>
        <c:overlap val="-27"/>
        <c:axId val="500020232"/>
        <c:axId val="651370504"/>
      </c:barChart>
      <c:catAx>
        <c:axId val="500020232"/>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370504"/>
        <c:crosses val="autoZero"/>
        <c:auto val="1"/>
        <c:lblAlgn val="ctr"/>
        <c:lblOffset val="100"/>
        <c:noMultiLvlLbl val="0"/>
      </c:catAx>
      <c:valAx>
        <c:axId val="651370504"/>
        <c:scaling>
          <c:orientation val="minMax"/>
        </c:scaling>
        <c:delete val="1"/>
        <c:axPos val="l"/>
        <c:numFmt formatCode="0.00" sourceLinked="1"/>
        <c:majorTickMark val="none"/>
        <c:minorTickMark val="none"/>
        <c:tickLblPos val="nextTo"/>
        <c:crossAx val="5000202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[2024 Beneficiary king fahad library Analysis .xlsm]pivottables!PivotTable4</c:name>
    <c:fmtId val="1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100"/>
              <a:t>Beneficiary satisfaction</a:t>
            </a:r>
          </a:p>
        </c:rich>
      </c:tx>
      <c:layout>
        <c:manualLayout>
          <c:xMode val="edge"/>
          <c:yMode val="edge"/>
          <c:x val="0.37033143669938101"/>
          <c:y val="4.555204401003920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solidFill>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BDB4B5"/>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2615A"/>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40000"/>
                      <a:lumOff val="60000"/>
                    </a:schemeClr>
                  </a:solidFill>
                  <a:effectLst>
                    <a:outerShdw blurRad="50800" dist="38100" algn="l" rotWithShape="0">
                      <a:prstClr val="black">
                        <a:alpha val="40000"/>
                      </a:prstClr>
                    </a:outerShdw>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BDB4B5"/>
          </a:solidFill>
          <a:ln>
            <a:noFill/>
          </a:ln>
          <a:effectLst>
            <a:outerShdw blurRad="57150" dist="19050" dir="5400000" algn="ctr" rotWithShape="0">
              <a:srgbClr val="000000">
                <a:alpha val="63000"/>
              </a:srgbClr>
            </a:outerShdw>
          </a:effectLst>
        </c:spPr>
        <c:dLbl>
          <c:idx val="0"/>
          <c:layout>
            <c:manualLayout>
              <c:x val="-1.272421630432993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BDB4B5"/>
          </a:solidFill>
          <a:ln>
            <a:noFill/>
          </a:ln>
          <a:effectLst>
            <a:outerShdw blurRad="57150" dist="19050" dir="5400000" algn="ctr" rotWithShape="0">
              <a:srgbClr val="000000">
                <a:alpha val="63000"/>
              </a:srgbClr>
            </a:outerShdw>
          </a:effectLst>
        </c:spPr>
        <c:dLbl>
          <c:idx val="0"/>
          <c:layout>
            <c:manualLayout>
              <c:x val="-2.1207027173883873E-3"/>
              <c:y val="-1.039686151014496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pivottables!$C$52:$C$53</c:f>
              <c:strCache>
                <c:ptCount val="1"/>
                <c:pt idx="0">
                  <c:v>satisfied</c:v>
                </c:pt>
              </c:strCache>
            </c:strRef>
          </c:tx>
          <c:spPr>
            <a:solidFill>
              <a:schemeClr val="accent4"/>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solidFill>
                    <a:effectLst/>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pivottables!$B$54:$B$59</c:f>
              <c:strCache>
                <c:ptCount val="5"/>
                <c:pt idx="0">
                  <c:v>Staff Conduct</c:v>
                </c:pt>
                <c:pt idx="1">
                  <c:v>Reference services </c:v>
                </c:pt>
                <c:pt idx="2">
                  <c:v>Library Environment</c:v>
                </c:pt>
                <c:pt idx="3">
                  <c:v>Electronic Services</c:v>
                </c:pt>
                <c:pt idx="4">
                  <c:v>Library's working hours</c:v>
                </c:pt>
              </c:strCache>
            </c:strRef>
          </c:cat>
          <c:val>
            <c:numRef>
              <c:f>pivottables!$C$54:$C$59</c:f>
              <c:numCache>
                <c:formatCode>0.00%</c:formatCode>
                <c:ptCount val="5"/>
                <c:pt idx="0">
                  <c:v>0.56503496503496509</c:v>
                </c:pt>
                <c:pt idx="1">
                  <c:v>0.4706293706293706</c:v>
                </c:pt>
                <c:pt idx="2">
                  <c:v>0.53776223776223775</c:v>
                </c:pt>
                <c:pt idx="3">
                  <c:v>0.47762237762237764</c:v>
                </c:pt>
                <c:pt idx="4">
                  <c:v>0.37972027972027972</c:v>
                </c:pt>
              </c:numCache>
            </c:numRef>
          </c:val>
          <c:extLst>
            <c:ext xmlns:c16="http://schemas.microsoft.com/office/drawing/2014/chart" uri="{C3380CC4-5D6E-409C-BE32-E72D297353CC}">
              <c16:uniqueId val="{00000000-60F9-4B61-9D47-4A98920B8332}"/>
            </c:ext>
          </c:extLst>
        </c:ser>
        <c:ser>
          <c:idx val="1"/>
          <c:order val="1"/>
          <c:tx>
            <c:strRef>
              <c:f>pivottables!$D$52:$D$53</c:f>
              <c:strCache>
                <c:ptCount val="1"/>
                <c:pt idx="0">
                  <c:v>netural</c:v>
                </c:pt>
              </c:strCache>
            </c:strRef>
          </c:tx>
          <c:spPr>
            <a:solidFill>
              <a:srgbClr val="BDB4B5"/>
            </a:soli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2-75E5-4A59-906C-1AD0345FF117}"/>
              </c:ext>
            </c:extLst>
          </c:dPt>
          <c:dPt>
            <c:idx val="2"/>
            <c:invertIfNegative val="0"/>
            <c:bubble3D val="0"/>
            <c:extLst>
              <c:ext xmlns:c16="http://schemas.microsoft.com/office/drawing/2014/chart" uri="{C3380CC4-5D6E-409C-BE32-E72D297353CC}">
                <c16:uniqueId val="{00000001-75E5-4A59-906C-1AD0345FF117}"/>
              </c:ext>
            </c:extLst>
          </c:dPt>
          <c:dLbls>
            <c:dLbl>
              <c:idx val="0"/>
              <c:layout>
                <c:manualLayout>
                  <c:x val="-2.1207027173883873E-3"/>
                  <c:y val="-1.0396861510144966E-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5E5-4A59-906C-1AD0345FF117}"/>
                </c:ext>
              </c:extLst>
            </c:dLbl>
            <c:dLbl>
              <c:idx val="2"/>
              <c:layout>
                <c:manualLayout>
                  <c:x val="-1.2724216304329935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5E5-4A59-906C-1AD0345FF11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effectLst/>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pivottables!$B$54:$B$59</c:f>
              <c:strCache>
                <c:ptCount val="5"/>
                <c:pt idx="0">
                  <c:v>Staff Conduct</c:v>
                </c:pt>
                <c:pt idx="1">
                  <c:v>Reference services </c:v>
                </c:pt>
                <c:pt idx="2">
                  <c:v>Library Environment</c:v>
                </c:pt>
                <c:pt idx="3">
                  <c:v>Electronic Services</c:v>
                </c:pt>
                <c:pt idx="4">
                  <c:v>Library's working hours</c:v>
                </c:pt>
              </c:strCache>
            </c:strRef>
          </c:cat>
          <c:val>
            <c:numRef>
              <c:f>pivottables!$D$54:$D$59</c:f>
              <c:numCache>
                <c:formatCode>0.00%</c:formatCode>
                <c:ptCount val="5"/>
                <c:pt idx="0">
                  <c:v>4.685314685314685E-2</c:v>
                </c:pt>
                <c:pt idx="1">
                  <c:v>0.11188811188811189</c:v>
                </c:pt>
                <c:pt idx="2">
                  <c:v>4.5454545454545456E-2</c:v>
                </c:pt>
                <c:pt idx="3">
                  <c:v>0.11748251748251748</c:v>
                </c:pt>
                <c:pt idx="4">
                  <c:v>9.6503496503496503E-2</c:v>
                </c:pt>
              </c:numCache>
            </c:numRef>
          </c:val>
          <c:extLst>
            <c:ext xmlns:c16="http://schemas.microsoft.com/office/drawing/2014/chart" uri="{C3380CC4-5D6E-409C-BE32-E72D297353CC}">
              <c16:uniqueId val="{00000001-60F9-4B61-9D47-4A98920B8332}"/>
            </c:ext>
          </c:extLst>
        </c:ser>
        <c:ser>
          <c:idx val="2"/>
          <c:order val="2"/>
          <c:tx>
            <c:strRef>
              <c:f>pivottables!$E$52:$E$53</c:f>
              <c:strCache>
                <c:ptCount val="1"/>
                <c:pt idx="0">
                  <c:v>dissatisfied</c:v>
                </c:pt>
              </c:strCache>
            </c:strRef>
          </c:tx>
          <c:spPr>
            <a:solidFill>
              <a:srgbClr val="72615A"/>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40000"/>
                        <a:lumOff val="60000"/>
                      </a:schemeClr>
                    </a:solidFill>
                    <a:effectLst>
                      <a:outerShdw blurRad="50800" dist="38100" algn="l" rotWithShape="0">
                        <a:prstClr val="black">
                          <a:alpha val="40000"/>
                        </a:prstClr>
                      </a:outerShdw>
                    </a:effectLst>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pivottables!$B$54:$B$59</c:f>
              <c:strCache>
                <c:ptCount val="5"/>
                <c:pt idx="0">
                  <c:v>Staff Conduct</c:v>
                </c:pt>
                <c:pt idx="1">
                  <c:v>Reference services </c:v>
                </c:pt>
                <c:pt idx="2">
                  <c:v>Library Environment</c:v>
                </c:pt>
                <c:pt idx="3">
                  <c:v>Electronic Services</c:v>
                </c:pt>
                <c:pt idx="4">
                  <c:v>Library's working hours</c:v>
                </c:pt>
              </c:strCache>
            </c:strRef>
          </c:cat>
          <c:val>
            <c:numRef>
              <c:f>pivottables!$E$54:$E$59</c:f>
              <c:numCache>
                <c:formatCode>0.00%</c:formatCode>
                <c:ptCount val="5"/>
                <c:pt idx="0">
                  <c:v>0.38811188811188813</c:v>
                </c:pt>
                <c:pt idx="1">
                  <c:v>0.41748251748251747</c:v>
                </c:pt>
                <c:pt idx="2">
                  <c:v>0.41678321678321678</c:v>
                </c:pt>
                <c:pt idx="3">
                  <c:v>0.40489510489510488</c:v>
                </c:pt>
                <c:pt idx="4">
                  <c:v>0.52377622377622379</c:v>
                </c:pt>
              </c:numCache>
            </c:numRef>
          </c:val>
          <c:extLst>
            <c:ext xmlns:c16="http://schemas.microsoft.com/office/drawing/2014/chart" uri="{C3380CC4-5D6E-409C-BE32-E72D297353CC}">
              <c16:uniqueId val="{00000002-60F9-4B61-9D47-4A98920B8332}"/>
            </c:ext>
          </c:extLst>
        </c:ser>
        <c:dLbls>
          <c:dLblPos val="ctr"/>
          <c:showLegendKey val="0"/>
          <c:showVal val="1"/>
          <c:showCatName val="0"/>
          <c:showSerName val="0"/>
          <c:showPercent val="0"/>
          <c:showBubbleSize val="0"/>
        </c:dLbls>
        <c:gapWidth val="150"/>
        <c:overlap val="100"/>
        <c:axId val="2093929992"/>
        <c:axId val="2106374152"/>
      </c:barChart>
      <c:catAx>
        <c:axId val="2093929992"/>
        <c:scaling>
          <c:orientation val="minMax"/>
        </c:scaling>
        <c:delete val="0"/>
        <c:axPos val="l"/>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594B45"/>
                </a:solidFill>
                <a:latin typeface="+mn-lt"/>
                <a:ea typeface="+mn-ea"/>
                <a:cs typeface="+mn-cs"/>
              </a:defRPr>
            </a:pPr>
            <a:endParaRPr lang="en-US"/>
          </a:p>
        </c:txPr>
        <c:crossAx val="2106374152"/>
        <c:crosses val="autoZero"/>
        <c:auto val="1"/>
        <c:lblAlgn val="ctr"/>
        <c:lblOffset val="100"/>
        <c:noMultiLvlLbl val="0"/>
      </c:catAx>
      <c:valAx>
        <c:axId val="2106374152"/>
        <c:scaling>
          <c:orientation val="minMax"/>
        </c:scaling>
        <c:delete val="1"/>
        <c:axPos val="b"/>
        <c:numFmt formatCode="0%" sourceLinked="1"/>
        <c:majorTickMark val="out"/>
        <c:minorTickMark val="none"/>
        <c:tickLblPos val="nextTo"/>
        <c:crossAx val="2093929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 Beneficiary king fahad library Analysis .xlsm]pivottables!PivotTable5</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rgbClr val="594B45"/>
                </a:solidFill>
              </a:rPr>
              <a:t>Research support</a:t>
            </a:r>
            <a:r>
              <a:rPr lang="en-US" sz="1100" b="1" baseline="0">
                <a:solidFill>
                  <a:srgbClr val="594B45"/>
                </a:solidFill>
              </a:rPr>
              <a:t> service</a:t>
            </a:r>
            <a:endParaRPr lang="en-US" sz="1100" b="1">
              <a:solidFill>
                <a:srgbClr val="594B45"/>
              </a:solidFill>
            </a:endParaRPr>
          </a:p>
          <a:p>
            <a:pPr>
              <a:defRPr/>
            </a:pPr>
            <a:r>
              <a:rPr lang="en-US" sz="1100" b="1">
                <a:solidFill>
                  <a:srgbClr val="594B45"/>
                </a:solidFill>
              </a:rPr>
              <a:t> </a:t>
            </a:r>
            <a:r>
              <a:rPr lang="en-US" sz="1100" b="0">
                <a:solidFill>
                  <a:srgbClr val="594B45"/>
                </a:solidFill>
              </a:rPr>
              <a:t>makes up </a:t>
            </a:r>
            <a:r>
              <a:rPr lang="en-US" sz="1100" b="0" baseline="0">
                <a:solidFill>
                  <a:srgbClr val="594B45"/>
                </a:solidFill>
              </a:rPr>
              <a:t> </a:t>
            </a:r>
            <a:r>
              <a:rPr lang="en-US" sz="2400" b="1" baseline="0">
                <a:ln>
                  <a:solidFill>
                    <a:schemeClr val="tx1">
                      <a:lumMod val="65000"/>
                      <a:lumOff val="35000"/>
                    </a:schemeClr>
                  </a:solidFill>
                </a:ln>
                <a:solidFill>
                  <a:schemeClr val="accent4"/>
                </a:solidFill>
                <a:effectLst>
                  <a:outerShdw blurRad="50800" dist="38100" dir="10800000" algn="r" rotWithShape="0">
                    <a:prstClr val="black">
                      <a:alpha val="40000"/>
                    </a:prstClr>
                  </a:outerShdw>
                </a:effectLst>
              </a:rPr>
              <a:t>50%</a:t>
            </a:r>
          </a:p>
          <a:p>
            <a:pPr>
              <a:defRPr/>
            </a:pPr>
            <a:r>
              <a:rPr lang="en-US" sz="1100" b="0" baseline="0">
                <a:solidFill>
                  <a:srgbClr val="594B45"/>
                </a:solidFill>
              </a:rPr>
              <a:t>of </a:t>
            </a:r>
            <a:r>
              <a:rPr lang="en-US" sz="1100" b="1" baseline="0">
                <a:solidFill>
                  <a:srgbClr val="594B45"/>
                </a:solidFill>
              </a:rPr>
              <a:t>E-services requests </a:t>
            </a:r>
            <a:endParaRPr lang="en-US" sz="1100" b="1">
              <a:solidFill>
                <a:srgbClr val="594B45"/>
              </a:solidFill>
            </a:endParaRPr>
          </a:p>
        </c:rich>
      </c:tx>
      <c:layout>
        <c:manualLayout>
          <c:xMode val="edge"/>
          <c:yMode val="edge"/>
          <c:x val="0.49320935821365558"/>
          <c:y val="0.2404178482703389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noFill/>
          </a:ln>
          <a:effectLst>
            <a:outerShdw blurRad="50800" dist="38100" dir="9840000" sx="99000" sy="99000" algn="r" rotWithShape="0">
              <a:prstClr val="black">
                <a:alpha val="40000"/>
              </a:prstClr>
            </a:outerShdw>
          </a:effectLst>
        </c:spPr>
        <c:marker>
          <c:symbol val="none"/>
        </c:marker>
        <c:dLbl>
          <c:idx val="0"/>
          <c:spPr>
            <a:noFill/>
            <a:ln>
              <a:noFill/>
            </a:ln>
            <a:effectLst/>
          </c:spPr>
          <c:txPr>
            <a:bodyPr rot="0" spcFirstLastPara="1" vertOverflow="overflow" horzOverflow="overflow" vert="horz" wrap="square" lIns="180000" tIns="0" rIns="38100" bIns="19050" anchor="t" anchorCtr="1">
              <a:spAutoFit/>
            </a:bodyPr>
            <a:lstStyle/>
            <a:p>
              <a:pPr>
                <a:defRPr sz="1000" b="1" i="0" u="none" strike="noStrike" kern="1200" baseline="0">
                  <a:ln>
                    <a:noFill/>
                  </a:ln>
                  <a:solidFill>
                    <a:schemeClr val="tx1">
                      <a:lumMod val="95000"/>
                      <a:lumOff val="5000"/>
                    </a:schemeClr>
                  </a:solidFill>
                  <a:effectLst/>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1"/>
        <c:spPr>
          <a:solidFill>
            <a:schemeClr val="accent4"/>
          </a:solidFill>
          <a:ln w="19050">
            <a:noFill/>
          </a:ln>
          <a:effectLst>
            <a:outerShdw blurRad="50800" dist="38100" dir="9840000" sx="99000" sy="99000" algn="r" rotWithShape="0">
              <a:prstClr val="black">
                <a:alpha val="40000"/>
              </a:prstClr>
            </a:outerShdw>
          </a:effectLst>
        </c:spPr>
        <c:dLbl>
          <c:idx val="0"/>
          <c:layout>
            <c:manualLayout>
              <c:x val="-0.15265109931598253"/>
              <c:y val="-7.5731177233913191E-2"/>
            </c:manualLayout>
          </c:layout>
          <c:spPr>
            <a:noFill/>
            <a:ln>
              <a:noFill/>
            </a:ln>
            <a:effectLst/>
          </c:spPr>
          <c:txPr>
            <a:bodyPr rot="0" spcFirstLastPara="1" vertOverflow="overflow" horzOverflow="overflow" vert="horz" wrap="square" lIns="180000" tIns="0" rIns="38100" bIns="19050" anchor="t" anchorCtr="1">
              <a:spAutoFit/>
            </a:bodyPr>
            <a:lstStyle/>
            <a:p>
              <a:pPr>
                <a:defRPr sz="1000" b="1" i="0" u="none" strike="noStrike" kern="1200" baseline="0">
                  <a:ln>
                    <a:noFill/>
                  </a:ln>
                  <a:solidFill>
                    <a:schemeClr val="tx1">
                      <a:lumMod val="95000"/>
                      <a:lumOff val="5000"/>
                    </a:schemeClr>
                  </a:solidFill>
                  <a:effectLst/>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2"/>
        <c:spPr>
          <a:solidFill>
            <a:schemeClr val="accent4">
              <a:lumMod val="40000"/>
              <a:lumOff val="60000"/>
            </a:schemeClr>
          </a:solidFill>
          <a:ln w="19050">
            <a:noFill/>
          </a:ln>
          <a:effectLst>
            <a:outerShdw blurRad="50800" dist="38100" dir="9840000" sx="99000" sy="99000" algn="r" rotWithShape="0">
              <a:prstClr val="black">
                <a:alpha val="40000"/>
              </a:prstClr>
            </a:outerShdw>
          </a:effectLst>
        </c:spPr>
        <c:dLbl>
          <c:idx val="0"/>
          <c:layout>
            <c:manualLayout>
              <c:x val="9.3939138040604636E-2"/>
              <c:y val="-1.3468137460035877E-2"/>
            </c:manualLayout>
          </c:layout>
          <c:spPr>
            <a:noFill/>
            <a:ln>
              <a:noFill/>
            </a:ln>
            <a:effectLst/>
          </c:spPr>
          <c:txPr>
            <a:bodyPr rot="0" spcFirstLastPara="1" vertOverflow="overflow" horzOverflow="overflow" vert="horz" wrap="square" lIns="180000" tIns="0" rIns="38100" bIns="19050" anchor="t" anchorCtr="1">
              <a:spAutoFit/>
            </a:bodyPr>
            <a:lstStyle/>
            <a:p>
              <a:pPr>
                <a:defRPr sz="1000" b="1" i="0" u="none" strike="noStrike" kern="1200" baseline="0">
                  <a:ln>
                    <a:noFill/>
                  </a:ln>
                  <a:solidFill>
                    <a:schemeClr val="tx1">
                      <a:lumMod val="95000"/>
                      <a:lumOff val="5000"/>
                    </a:schemeClr>
                  </a:solidFill>
                  <a:effectLst/>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3"/>
        <c:spPr>
          <a:solidFill>
            <a:schemeClr val="accent4">
              <a:lumMod val="20000"/>
              <a:lumOff val="80000"/>
            </a:schemeClr>
          </a:solidFill>
          <a:ln w="19050">
            <a:noFill/>
          </a:ln>
          <a:effectLst>
            <a:outerShdw blurRad="50800" dist="38100" dir="9840000" sx="99000" sy="99000" algn="r" rotWithShape="0">
              <a:prstClr val="black">
                <a:alpha val="40000"/>
              </a:prstClr>
            </a:outerShdw>
          </a:effectLst>
        </c:spPr>
        <c:dLbl>
          <c:idx val="0"/>
          <c:layout>
            <c:manualLayout>
              <c:x val="-3.4109338006456158E-2"/>
              <c:y val="9.8616169321380119E-4"/>
            </c:manualLayout>
          </c:layout>
          <c:spPr>
            <a:noFill/>
            <a:ln>
              <a:noFill/>
            </a:ln>
            <a:effectLst/>
          </c:spPr>
          <c:txPr>
            <a:bodyPr rot="0" spcFirstLastPara="1" vertOverflow="overflow" horzOverflow="overflow" vert="horz" wrap="square" lIns="180000" tIns="0" rIns="38100" bIns="19050" anchor="t" anchorCtr="1">
              <a:spAutoFit/>
            </a:bodyPr>
            <a:lstStyle/>
            <a:p>
              <a:pPr>
                <a:defRPr sz="1000" b="1" i="0" u="none" strike="noStrike" kern="1200" baseline="0">
                  <a:ln>
                    <a:noFill/>
                  </a:ln>
                  <a:solidFill>
                    <a:schemeClr val="tx1">
                      <a:lumMod val="95000"/>
                      <a:lumOff val="5000"/>
                    </a:schemeClr>
                  </a:solidFill>
                  <a:effectLst/>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4"/>
        <c:spPr>
          <a:solidFill>
            <a:schemeClr val="bg1"/>
          </a:solidFill>
          <a:ln w="19050">
            <a:noFill/>
          </a:ln>
          <a:effectLst>
            <a:outerShdw blurRad="50800" dist="38100" dir="9840000" sx="99000" sy="99000" algn="r" rotWithShape="0">
              <a:prstClr val="black">
                <a:alpha val="40000"/>
              </a:prstClr>
            </a:outerShdw>
          </a:effectLst>
        </c:spPr>
        <c:dLbl>
          <c:idx val="0"/>
          <c:layout>
            <c:manualLayout>
              <c:x val="-5.0430338643195891E-2"/>
              <c:y val="-8.2106808676501181E-3"/>
            </c:manualLayout>
          </c:layout>
          <c:spPr>
            <a:noFill/>
            <a:ln>
              <a:noFill/>
            </a:ln>
            <a:effectLst/>
          </c:spPr>
          <c:txPr>
            <a:bodyPr rot="0" spcFirstLastPara="1" vertOverflow="overflow" horzOverflow="overflow" vert="horz" wrap="square" lIns="180000" tIns="0" rIns="38100" bIns="19050" anchor="t" anchorCtr="1">
              <a:spAutoFit/>
            </a:bodyPr>
            <a:lstStyle/>
            <a:p>
              <a:pPr>
                <a:defRPr sz="1000" b="1" i="0" u="none" strike="noStrike" kern="1200" baseline="0">
                  <a:ln>
                    <a:noFill/>
                  </a:ln>
                  <a:solidFill>
                    <a:schemeClr val="tx1">
                      <a:lumMod val="95000"/>
                      <a:lumOff val="5000"/>
                    </a:schemeClr>
                  </a:solidFill>
                  <a:effectLst/>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5"/>
        <c:spPr>
          <a:solidFill>
            <a:srgbClr val="BDB4B5"/>
          </a:solidFill>
          <a:ln w="19050">
            <a:noFill/>
          </a:ln>
          <a:effectLst>
            <a:outerShdw blurRad="50800" dist="38100" dir="9840000" sx="99000" sy="99000" algn="r" rotWithShape="0">
              <a:prstClr val="black">
                <a:alpha val="40000"/>
              </a:prstClr>
            </a:outerShdw>
          </a:effectLst>
        </c:spPr>
        <c:dLbl>
          <c:idx val="0"/>
          <c:layout>
            <c:manualLayout>
              <c:x val="-1.7846895231355946E-2"/>
              <c:y val="1.9504671355159296E-2"/>
            </c:manualLayout>
          </c:layout>
          <c:spPr>
            <a:noFill/>
            <a:ln>
              <a:noFill/>
            </a:ln>
            <a:effectLst/>
          </c:spPr>
          <c:txPr>
            <a:bodyPr rot="0" spcFirstLastPara="1" vertOverflow="overflow" horzOverflow="overflow" vert="horz" wrap="square" lIns="180000" tIns="0" rIns="38100" bIns="19050" anchor="t" anchorCtr="1">
              <a:spAutoFit/>
            </a:bodyPr>
            <a:lstStyle/>
            <a:p>
              <a:pPr>
                <a:defRPr sz="1000" b="1" i="0" u="none" strike="noStrike" kern="1200" baseline="0">
                  <a:ln>
                    <a:noFill/>
                  </a:ln>
                  <a:solidFill>
                    <a:schemeClr val="tx1">
                      <a:lumMod val="95000"/>
                      <a:lumOff val="5000"/>
                    </a:schemeClr>
                  </a:solidFill>
                  <a:effectLst/>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3.5662970535533224E-2"/>
          <c:y val="9.0914829968411257E-2"/>
          <c:w val="0.42864724559228812"/>
          <c:h val="0.66516271428810558"/>
        </c:manualLayout>
      </c:layout>
      <c:pieChart>
        <c:varyColors val="1"/>
        <c:ser>
          <c:idx val="0"/>
          <c:order val="0"/>
          <c:tx>
            <c:strRef>
              <c:f>pivottables!$C$38</c:f>
              <c:strCache>
                <c:ptCount val="1"/>
                <c:pt idx="0">
                  <c:v>Total</c:v>
                </c:pt>
              </c:strCache>
            </c:strRef>
          </c:tx>
          <c:spPr>
            <a:ln>
              <a:noFill/>
            </a:ln>
            <a:effectLst>
              <a:outerShdw blurRad="50800" dist="38100" dir="9840000" sx="99000" sy="99000" algn="r" rotWithShape="0">
                <a:prstClr val="black">
                  <a:alpha val="40000"/>
                </a:prstClr>
              </a:outerShdw>
            </a:effectLst>
          </c:spPr>
          <c:dPt>
            <c:idx val="0"/>
            <c:bubble3D val="0"/>
            <c:spPr>
              <a:solidFill>
                <a:schemeClr val="accent4"/>
              </a:solidFill>
              <a:ln w="19050">
                <a:noFill/>
              </a:ln>
              <a:effectLst>
                <a:outerShdw blurRad="50800" dist="38100" dir="9840000" sx="99000" sy="99000" algn="r" rotWithShape="0">
                  <a:prstClr val="black">
                    <a:alpha val="40000"/>
                  </a:prstClr>
                </a:outerShdw>
              </a:effectLst>
            </c:spPr>
            <c:extLst>
              <c:ext xmlns:c16="http://schemas.microsoft.com/office/drawing/2014/chart" uri="{C3380CC4-5D6E-409C-BE32-E72D297353CC}">
                <c16:uniqueId val="{00000001-86FC-42D4-B596-BE9F7FECAA2F}"/>
              </c:ext>
            </c:extLst>
          </c:dPt>
          <c:dPt>
            <c:idx val="1"/>
            <c:bubble3D val="0"/>
            <c:spPr>
              <a:solidFill>
                <a:schemeClr val="accent4">
                  <a:lumMod val="40000"/>
                  <a:lumOff val="60000"/>
                </a:schemeClr>
              </a:solidFill>
              <a:ln w="19050">
                <a:noFill/>
              </a:ln>
              <a:effectLst>
                <a:outerShdw blurRad="50800" dist="38100" dir="9840000" sx="99000" sy="99000" algn="r" rotWithShape="0">
                  <a:prstClr val="black">
                    <a:alpha val="40000"/>
                  </a:prstClr>
                </a:outerShdw>
              </a:effectLst>
            </c:spPr>
            <c:extLst>
              <c:ext xmlns:c16="http://schemas.microsoft.com/office/drawing/2014/chart" uri="{C3380CC4-5D6E-409C-BE32-E72D297353CC}">
                <c16:uniqueId val="{00000003-86FC-42D4-B596-BE9F7FECAA2F}"/>
              </c:ext>
            </c:extLst>
          </c:dPt>
          <c:dPt>
            <c:idx val="2"/>
            <c:bubble3D val="0"/>
            <c:spPr>
              <a:solidFill>
                <a:schemeClr val="accent4">
                  <a:lumMod val="20000"/>
                  <a:lumOff val="80000"/>
                </a:schemeClr>
              </a:solidFill>
              <a:ln w="19050">
                <a:noFill/>
              </a:ln>
              <a:effectLst>
                <a:outerShdw blurRad="50800" dist="38100" dir="9840000" sx="99000" sy="99000" algn="r" rotWithShape="0">
                  <a:prstClr val="black">
                    <a:alpha val="40000"/>
                  </a:prstClr>
                </a:outerShdw>
              </a:effectLst>
            </c:spPr>
            <c:extLst>
              <c:ext xmlns:c16="http://schemas.microsoft.com/office/drawing/2014/chart" uri="{C3380CC4-5D6E-409C-BE32-E72D297353CC}">
                <c16:uniqueId val="{00000005-86FC-42D4-B596-BE9F7FECAA2F}"/>
              </c:ext>
            </c:extLst>
          </c:dPt>
          <c:dPt>
            <c:idx val="3"/>
            <c:bubble3D val="0"/>
            <c:spPr>
              <a:solidFill>
                <a:schemeClr val="bg1"/>
              </a:solidFill>
              <a:ln w="19050">
                <a:noFill/>
              </a:ln>
              <a:effectLst>
                <a:outerShdw blurRad="50800" dist="38100" dir="9840000" sx="99000" sy="99000" algn="r" rotWithShape="0">
                  <a:prstClr val="black">
                    <a:alpha val="40000"/>
                  </a:prstClr>
                </a:outerShdw>
              </a:effectLst>
            </c:spPr>
            <c:extLst>
              <c:ext xmlns:c16="http://schemas.microsoft.com/office/drawing/2014/chart" uri="{C3380CC4-5D6E-409C-BE32-E72D297353CC}">
                <c16:uniqueId val="{00000007-86FC-42D4-B596-BE9F7FECAA2F}"/>
              </c:ext>
            </c:extLst>
          </c:dPt>
          <c:dPt>
            <c:idx val="4"/>
            <c:bubble3D val="0"/>
            <c:spPr>
              <a:solidFill>
                <a:srgbClr val="BDB4B5"/>
              </a:solidFill>
              <a:ln w="19050">
                <a:noFill/>
              </a:ln>
              <a:effectLst>
                <a:outerShdw blurRad="50800" dist="38100" dir="9840000" sx="99000" sy="99000" algn="r" rotWithShape="0">
                  <a:prstClr val="black">
                    <a:alpha val="40000"/>
                  </a:prstClr>
                </a:outerShdw>
              </a:effectLst>
            </c:spPr>
            <c:extLst>
              <c:ext xmlns:c16="http://schemas.microsoft.com/office/drawing/2014/chart" uri="{C3380CC4-5D6E-409C-BE32-E72D297353CC}">
                <c16:uniqueId val="{00000009-86FC-42D4-B596-BE9F7FECAA2F}"/>
              </c:ext>
            </c:extLst>
          </c:dPt>
          <c:dLbls>
            <c:dLbl>
              <c:idx val="0"/>
              <c:layout>
                <c:manualLayout>
                  <c:x val="-0.15265109931598253"/>
                  <c:y val="-7.5731177233913191E-2"/>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86FC-42D4-B596-BE9F7FECAA2F}"/>
                </c:ext>
              </c:extLst>
            </c:dLbl>
            <c:dLbl>
              <c:idx val="1"/>
              <c:layout>
                <c:manualLayout>
                  <c:x val="9.3939138040604636E-2"/>
                  <c:y val="-1.3468137460035877E-2"/>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86FC-42D4-B596-BE9F7FECAA2F}"/>
                </c:ext>
              </c:extLst>
            </c:dLbl>
            <c:dLbl>
              <c:idx val="2"/>
              <c:layout>
                <c:manualLayout>
                  <c:x val="-3.4109338006456158E-2"/>
                  <c:y val="9.8616169321380119E-4"/>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86FC-42D4-B596-BE9F7FECAA2F}"/>
                </c:ext>
              </c:extLst>
            </c:dLbl>
            <c:dLbl>
              <c:idx val="3"/>
              <c:layout>
                <c:manualLayout>
                  <c:x val="-5.0430338643195891E-2"/>
                  <c:y val="-8.2106808676501181E-3"/>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86FC-42D4-B596-BE9F7FECAA2F}"/>
                </c:ext>
              </c:extLst>
            </c:dLbl>
            <c:dLbl>
              <c:idx val="4"/>
              <c:layout>
                <c:manualLayout>
                  <c:x val="-1.7846895231355946E-2"/>
                  <c:y val="1.9504671355159296E-2"/>
                </c:manualLayout>
              </c:layout>
              <c:showLegendKey val="0"/>
              <c:showVal val="0"/>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86FC-42D4-B596-BE9F7FECAA2F}"/>
                </c:ext>
              </c:extLst>
            </c:dLbl>
            <c:spPr>
              <a:noFill/>
              <a:ln>
                <a:noFill/>
              </a:ln>
              <a:effectLst/>
            </c:spPr>
            <c:txPr>
              <a:bodyPr rot="0" spcFirstLastPara="1" vertOverflow="overflow" horzOverflow="overflow" vert="horz" wrap="square" lIns="180000" tIns="0" rIns="38100" bIns="19050" anchor="t" anchorCtr="1">
                <a:spAutoFit/>
              </a:bodyPr>
              <a:lstStyle/>
              <a:p>
                <a:pPr>
                  <a:defRPr sz="1000" b="1" i="0" u="none" strike="noStrike" kern="1200" baseline="0">
                    <a:ln>
                      <a:noFill/>
                    </a:ln>
                    <a:solidFill>
                      <a:schemeClr val="tx1">
                        <a:lumMod val="95000"/>
                        <a:lumOff val="5000"/>
                      </a:schemeClr>
                    </a:solidFill>
                    <a:effectLst/>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pivottables!$B$39:$B$44</c:f>
              <c:strCache>
                <c:ptCount val="5"/>
                <c:pt idx="0">
                  <c:v>Research Support </c:v>
                </c:pt>
                <c:pt idx="1">
                  <c:v>Registration Services</c:v>
                </c:pt>
                <c:pt idx="2">
                  <c:v>Publishing Services</c:v>
                </c:pt>
                <c:pt idx="3">
                  <c:v>Visitor Services</c:v>
                </c:pt>
                <c:pt idx="4">
                  <c:v>Historical Archive </c:v>
                </c:pt>
              </c:strCache>
            </c:strRef>
          </c:cat>
          <c:val>
            <c:numRef>
              <c:f>pivottables!$C$39:$C$44</c:f>
              <c:numCache>
                <c:formatCode>General</c:formatCode>
                <c:ptCount val="5"/>
                <c:pt idx="0">
                  <c:v>13647</c:v>
                </c:pt>
                <c:pt idx="1">
                  <c:v>10996</c:v>
                </c:pt>
                <c:pt idx="2">
                  <c:v>1784</c:v>
                </c:pt>
                <c:pt idx="3">
                  <c:v>632</c:v>
                </c:pt>
                <c:pt idx="4">
                  <c:v>147</c:v>
                </c:pt>
              </c:numCache>
            </c:numRef>
          </c:val>
          <c:extLst>
            <c:ext xmlns:c16="http://schemas.microsoft.com/office/drawing/2014/chart" uri="{C3380CC4-5D6E-409C-BE32-E72D297353CC}">
              <c16:uniqueId val="{0000000A-86FC-42D4-B596-BE9F7FECAA2F}"/>
            </c:ext>
          </c:extLst>
        </c:ser>
        <c:dLbls>
          <c:showLegendKey val="0"/>
          <c:showVal val="1"/>
          <c:showCatName val="0"/>
          <c:showSerName val="0"/>
          <c:showPercent val="0"/>
          <c:showBubbleSize val="0"/>
          <c:showLeaderLines val="1"/>
        </c:dLbls>
        <c:firstSliceAng val="20"/>
      </c:pieChart>
      <c:spPr>
        <a:noFill/>
        <a:ln>
          <a:noFill/>
        </a:ln>
        <a:effectLst/>
      </c:spPr>
    </c:plotArea>
    <c:legend>
      <c:legendPos val="b"/>
      <c:legendEntry>
        <c:idx val="0"/>
        <c:txPr>
          <a:bodyPr rot="0" spcFirstLastPara="1" vertOverflow="ellipsis" vert="horz" wrap="square" anchor="ctr" anchorCtr="1"/>
          <a:lstStyle/>
          <a:p>
            <a:pPr>
              <a:defRPr sz="800" b="1" i="0" u="none" strike="noStrike" kern="0" spc="-50" baseline="0">
                <a:solidFill>
                  <a:srgbClr val="594B45"/>
                </a:solidFill>
                <a:latin typeface="+mn-lt"/>
                <a:ea typeface="+mn-ea"/>
                <a:cs typeface="+mn-cs"/>
              </a:defRPr>
            </a:pPr>
            <a:endParaRPr lang="en-US"/>
          </a:p>
        </c:txPr>
      </c:legendEntry>
      <c:legendEntry>
        <c:idx val="1"/>
        <c:txPr>
          <a:bodyPr rot="0" spcFirstLastPara="1" vertOverflow="ellipsis" vert="horz" wrap="square" anchor="ctr" anchorCtr="1"/>
          <a:lstStyle/>
          <a:p>
            <a:pPr>
              <a:defRPr sz="800" b="1" i="0" u="none" strike="noStrike" kern="0" spc="-50" baseline="0">
                <a:solidFill>
                  <a:srgbClr val="594B45"/>
                </a:solidFill>
                <a:latin typeface="+mn-lt"/>
                <a:ea typeface="+mn-ea"/>
                <a:cs typeface="+mn-cs"/>
              </a:defRPr>
            </a:pPr>
            <a:endParaRPr lang="en-US"/>
          </a:p>
        </c:txPr>
      </c:legendEntry>
      <c:legendEntry>
        <c:idx val="2"/>
        <c:txPr>
          <a:bodyPr rot="0" spcFirstLastPara="1" vertOverflow="ellipsis" vert="horz" wrap="square" anchor="ctr" anchorCtr="1"/>
          <a:lstStyle/>
          <a:p>
            <a:pPr>
              <a:defRPr sz="800" b="1" i="0" u="none" strike="noStrike" kern="0" spc="-50" baseline="0">
                <a:solidFill>
                  <a:srgbClr val="594B45"/>
                </a:solidFill>
                <a:latin typeface="+mn-lt"/>
                <a:ea typeface="+mn-ea"/>
                <a:cs typeface="+mn-cs"/>
              </a:defRPr>
            </a:pPr>
            <a:endParaRPr lang="en-US"/>
          </a:p>
        </c:txPr>
      </c:legendEntry>
      <c:legendEntry>
        <c:idx val="3"/>
        <c:txPr>
          <a:bodyPr rot="0" spcFirstLastPara="1" vertOverflow="ellipsis" vert="horz" wrap="square" anchor="ctr" anchorCtr="1"/>
          <a:lstStyle/>
          <a:p>
            <a:pPr>
              <a:defRPr sz="800" b="1" i="0" u="none" strike="noStrike" kern="0" spc="-50" baseline="0">
                <a:solidFill>
                  <a:srgbClr val="594B45"/>
                </a:solidFill>
                <a:latin typeface="+mn-lt"/>
                <a:ea typeface="+mn-ea"/>
                <a:cs typeface="+mn-cs"/>
              </a:defRPr>
            </a:pPr>
            <a:endParaRPr lang="en-US"/>
          </a:p>
        </c:txPr>
      </c:legendEntry>
      <c:legendEntry>
        <c:idx val="4"/>
        <c:txPr>
          <a:bodyPr rot="0" spcFirstLastPara="1" vertOverflow="ellipsis" vert="horz" wrap="square" anchor="ctr" anchorCtr="1"/>
          <a:lstStyle/>
          <a:p>
            <a:pPr>
              <a:defRPr sz="800" b="1" i="0" u="none" strike="noStrike" kern="0" spc="-50" baseline="0">
                <a:solidFill>
                  <a:srgbClr val="594B45"/>
                </a:solidFill>
                <a:latin typeface="+mn-lt"/>
                <a:ea typeface="+mn-ea"/>
                <a:cs typeface="+mn-cs"/>
              </a:defRPr>
            </a:pPr>
            <a:endParaRPr lang="en-US"/>
          </a:p>
        </c:txPr>
      </c:legendEntry>
      <c:overlay val="0"/>
      <c:spPr>
        <a:noFill/>
        <a:ln>
          <a:noFill/>
        </a:ln>
        <a:effectLst>
          <a:outerShdw blurRad="50800" dist="50800" dir="5400000" sx="1000" sy="1000" algn="ctr" rotWithShape="0">
            <a:srgbClr val="000000">
              <a:alpha val="43137"/>
            </a:srgbClr>
          </a:outerShdw>
        </a:effectLst>
      </c:spPr>
      <c:txPr>
        <a:bodyPr rot="0" spcFirstLastPara="1" vertOverflow="ellipsis" vert="horz" wrap="square" anchor="ctr" anchorCtr="1"/>
        <a:lstStyle/>
        <a:p>
          <a:pPr>
            <a:defRPr sz="800" b="0" i="0" u="none" strike="noStrike" kern="0" spc="-5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 Beneficiary king fahad library Analysis .xlsm]pivottables!PivotTable3</c:name>
    <c:fmtId val="11"/>
  </c:pivotSource>
  <c:chart>
    <c:title>
      <c:tx>
        <c:rich>
          <a:bodyPr rot="0" spcFirstLastPara="1" vertOverflow="ellipsis" vert="horz" wrap="square" anchor="ctr" anchorCtr="1"/>
          <a:lstStyle/>
          <a:p>
            <a:pPr algn="l">
              <a:defRPr sz="1400" b="0" i="0" u="none" strike="noStrike" kern="1200" spc="0" baseline="0">
                <a:ln w="3175" cmpd="sng">
                  <a:solidFill>
                    <a:schemeClr val="bg2">
                      <a:lumMod val="75000"/>
                    </a:schemeClr>
                  </a:solidFill>
                  <a:prstDash val="solid"/>
                </a:ln>
                <a:solidFill>
                  <a:schemeClr val="accent4"/>
                </a:solidFill>
                <a:effectLst>
                  <a:outerShdw blurRad="50800" dist="38100" dir="10800000" algn="r" rotWithShape="0">
                    <a:prstClr val="black">
                      <a:alpha val="40000"/>
                    </a:prstClr>
                  </a:outerShdw>
                </a:effectLst>
                <a:latin typeface="+mn-lt"/>
                <a:ea typeface="+mn-ea"/>
                <a:cs typeface="+mn-cs"/>
              </a:defRPr>
            </a:pPr>
            <a:r>
              <a:rPr lang="en-US" sz="2400" b="1" cap="none" spc="0">
                <a:ln w="3175" cmpd="sng">
                  <a:solidFill>
                    <a:schemeClr val="tx1">
                      <a:lumMod val="65000"/>
                      <a:lumOff val="35000"/>
                    </a:schemeClr>
                  </a:solidFill>
                  <a:prstDash val="solid"/>
                </a:ln>
                <a:solidFill>
                  <a:schemeClr val="accent4"/>
                </a:solidFill>
                <a:effectLst>
                  <a:outerShdw blurRad="50800" dist="38100" dir="10800000" algn="r" rotWithShape="0">
                    <a:prstClr val="black">
                      <a:alpha val="40000"/>
                    </a:prstClr>
                  </a:outerShdw>
                </a:effectLst>
                <a:latin typeface="+mn-lt"/>
              </a:rPr>
              <a:t>47.8%</a:t>
            </a:r>
          </a:p>
          <a:p>
            <a:pPr algn="l">
              <a:defRPr>
                <a:ln w="3175" cmpd="sng">
                  <a:solidFill>
                    <a:schemeClr val="bg2">
                      <a:lumMod val="75000"/>
                    </a:schemeClr>
                  </a:solidFill>
                  <a:prstDash val="solid"/>
                </a:ln>
                <a:solidFill>
                  <a:schemeClr val="accent4"/>
                </a:solidFill>
                <a:effectLst>
                  <a:outerShdw blurRad="50800" dist="38100" dir="10800000" algn="r" rotWithShape="0">
                    <a:prstClr val="black">
                      <a:alpha val="40000"/>
                    </a:prstClr>
                  </a:outerShdw>
                </a:effectLst>
              </a:defRPr>
            </a:pPr>
            <a:r>
              <a:rPr lang="en-US" sz="1100" b="0" cap="none" spc="0">
                <a:ln w="3175" cmpd="sng">
                  <a:noFill/>
                  <a:prstDash val="solid"/>
                </a:ln>
                <a:solidFill>
                  <a:srgbClr val="594B45"/>
                </a:solidFill>
                <a:effectLst/>
              </a:rPr>
              <a:t>of 2024 </a:t>
            </a:r>
            <a:r>
              <a:rPr lang="en-US" sz="1100" b="1" cap="none" spc="0">
                <a:ln w="3175" cmpd="sng">
                  <a:noFill/>
                  <a:prstDash val="solid"/>
                </a:ln>
                <a:solidFill>
                  <a:srgbClr val="594B45"/>
                </a:solidFill>
                <a:effectLst/>
              </a:rPr>
              <a:t>library</a:t>
            </a:r>
            <a:r>
              <a:rPr lang="en-US" sz="1100" b="1" cap="none" spc="0" baseline="0">
                <a:ln w="3175" cmpd="sng">
                  <a:noFill/>
                  <a:prstDash val="solid"/>
                </a:ln>
                <a:solidFill>
                  <a:srgbClr val="594B45"/>
                </a:solidFill>
                <a:effectLst/>
              </a:rPr>
              <a:t> events </a:t>
            </a:r>
            <a:r>
              <a:rPr lang="en-US" sz="1100" b="0" cap="none" spc="0" baseline="0">
                <a:ln w="3175" cmpd="sng">
                  <a:noFill/>
                  <a:prstDash val="solid"/>
                </a:ln>
                <a:solidFill>
                  <a:srgbClr val="594B45"/>
                </a:solidFill>
                <a:effectLst/>
              </a:rPr>
              <a:t>were held</a:t>
            </a:r>
          </a:p>
          <a:p>
            <a:pPr algn="l">
              <a:defRPr>
                <a:ln w="3175" cmpd="sng">
                  <a:solidFill>
                    <a:schemeClr val="bg2">
                      <a:lumMod val="75000"/>
                    </a:schemeClr>
                  </a:solidFill>
                  <a:prstDash val="solid"/>
                </a:ln>
                <a:solidFill>
                  <a:schemeClr val="accent4"/>
                </a:solidFill>
                <a:effectLst>
                  <a:outerShdw blurRad="50800" dist="38100" dir="10800000" algn="r" rotWithShape="0">
                    <a:prstClr val="black">
                      <a:alpha val="40000"/>
                    </a:prstClr>
                  </a:outerShdw>
                </a:effectLst>
              </a:defRPr>
            </a:pPr>
            <a:r>
              <a:rPr lang="en-US" sz="1100" b="0" cap="none" spc="0" baseline="0">
                <a:ln w="3175" cmpd="sng">
                  <a:noFill/>
                  <a:prstDash val="solid"/>
                </a:ln>
                <a:solidFill>
                  <a:srgbClr val="594B45"/>
                </a:solidFill>
                <a:effectLst/>
              </a:rPr>
              <a:t> in the </a:t>
            </a:r>
            <a:r>
              <a:rPr lang="en-US" sz="1100" b="1" cap="none" spc="0" baseline="0">
                <a:ln w="3175" cmpd="sng">
                  <a:noFill/>
                  <a:prstDash val="solid"/>
                </a:ln>
                <a:solidFill>
                  <a:srgbClr val="594B45"/>
                </a:solidFill>
                <a:effectLst/>
              </a:rPr>
              <a:t>Q4</a:t>
            </a:r>
            <a:endParaRPr lang="en-US" sz="1100" b="1" cap="none" spc="0">
              <a:ln w="3175" cmpd="sng">
                <a:noFill/>
                <a:prstDash val="solid"/>
              </a:ln>
              <a:solidFill>
                <a:srgbClr val="594B45"/>
              </a:solidFill>
              <a:effectLst/>
            </a:endParaRPr>
          </a:p>
        </c:rich>
      </c:tx>
      <c:layout>
        <c:manualLayout>
          <c:xMode val="edge"/>
          <c:yMode val="edge"/>
          <c:x val="6.8561487058476353E-2"/>
          <c:y val="9.4967342671787816E-2"/>
        </c:manualLayout>
      </c:layout>
      <c:overlay val="0"/>
      <c:spPr>
        <a:noFill/>
        <a:ln>
          <a:noFill/>
        </a:ln>
        <a:effectLst/>
      </c:spPr>
      <c:txPr>
        <a:bodyPr rot="0" spcFirstLastPara="1" vertOverflow="ellipsis" vert="horz" wrap="square" anchor="ctr" anchorCtr="1"/>
        <a:lstStyle/>
        <a:p>
          <a:pPr algn="l">
            <a:defRPr sz="1400" b="0" i="0" u="none" strike="noStrike" kern="1200" spc="0" baseline="0">
              <a:ln w="3175" cmpd="sng">
                <a:solidFill>
                  <a:schemeClr val="bg2">
                    <a:lumMod val="75000"/>
                  </a:schemeClr>
                </a:solidFill>
                <a:prstDash val="solid"/>
              </a:ln>
              <a:solidFill>
                <a:schemeClr val="accent4"/>
              </a:solidFill>
              <a:effectLst>
                <a:outerShdw blurRad="50800" dist="38100" dir="10800000" algn="r"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2"/>
          </a:solidFill>
          <a:ln w="19050">
            <a:solidFill>
              <a:schemeClr val="lt1"/>
            </a:solidFill>
          </a:ln>
          <a:effectLst/>
        </c:spPr>
      </c:pivotFmt>
      <c:pivotFmt>
        <c:idx val="17"/>
        <c:spPr>
          <a:solidFill>
            <a:schemeClr val="accent2"/>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2"/>
          </a:solidFill>
          <a:ln w="19050">
            <a:solidFill>
              <a:schemeClr val="lt1"/>
            </a:solidFill>
          </a:ln>
          <a:effectLst/>
        </c:spPr>
      </c:pivotFmt>
      <c:pivotFmt>
        <c:idx val="27"/>
        <c:spPr>
          <a:solidFill>
            <a:schemeClr val="accent2"/>
          </a:solidFill>
          <a:ln w="19050">
            <a:solidFill>
              <a:schemeClr val="lt1"/>
            </a:solidFill>
          </a:ln>
          <a:effectLst/>
        </c:spPr>
      </c:pivotFmt>
      <c:pivotFmt>
        <c:idx val="28"/>
        <c:spPr>
          <a:solidFill>
            <a:schemeClr val="accent2"/>
          </a:solidFill>
          <a:ln w="19050">
            <a:solidFill>
              <a:schemeClr val="lt1"/>
            </a:solidFill>
          </a:ln>
          <a:effectLst/>
        </c:spPr>
      </c:pivotFmt>
      <c:pivotFmt>
        <c:idx val="29"/>
        <c:spPr>
          <a:solidFill>
            <a:schemeClr val="accent2"/>
          </a:solidFill>
          <a:ln w="19050">
            <a:solidFill>
              <a:schemeClr val="lt1"/>
            </a:solidFill>
          </a:ln>
          <a:effectLst/>
        </c:spPr>
      </c:pivotFmt>
      <c:pivotFmt>
        <c:idx val="3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6"/>
        <c:spPr>
          <a:solidFill>
            <a:schemeClr val="accent2"/>
          </a:solidFill>
          <a:ln w="19050">
            <a:solidFill>
              <a:schemeClr val="lt1"/>
            </a:solidFill>
          </a:ln>
          <a:effectLst/>
        </c:spPr>
      </c:pivotFmt>
      <c:pivotFmt>
        <c:idx val="37"/>
        <c:spPr>
          <a:solidFill>
            <a:schemeClr val="accent2"/>
          </a:solidFill>
          <a:ln w="19050">
            <a:solidFill>
              <a:schemeClr val="lt1"/>
            </a:solidFill>
          </a:ln>
          <a:effectLst/>
        </c:spPr>
      </c:pivotFmt>
      <c:pivotFmt>
        <c:idx val="38"/>
        <c:spPr>
          <a:solidFill>
            <a:schemeClr val="accent2"/>
          </a:solidFill>
          <a:ln w="19050">
            <a:solidFill>
              <a:schemeClr val="lt1"/>
            </a:solidFill>
          </a:ln>
          <a:effectLst/>
        </c:spPr>
      </c:pivotFmt>
      <c:pivotFmt>
        <c:idx val="39"/>
        <c:spPr>
          <a:solidFill>
            <a:schemeClr val="accent2"/>
          </a:solidFill>
          <a:ln w="19050">
            <a:solidFill>
              <a:schemeClr val="lt1"/>
            </a:solidFill>
          </a:ln>
          <a:effectLst/>
        </c:spPr>
      </c:pivotFmt>
      <c:pivotFmt>
        <c:idx val="4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6"/>
        <c:spPr>
          <a:solidFill>
            <a:schemeClr val="accent2"/>
          </a:solidFill>
          <a:ln w="19050">
            <a:solidFill>
              <a:schemeClr val="lt1"/>
            </a:solidFill>
          </a:ln>
          <a:effectLst/>
        </c:spPr>
      </c:pivotFmt>
      <c:pivotFmt>
        <c:idx val="47"/>
        <c:spPr>
          <a:solidFill>
            <a:schemeClr val="accent2"/>
          </a:solidFill>
          <a:ln w="19050">
            <a:solidFill>
              <a:schemeClr val="lt1"/>
            </a:solidFill>
          </a:ln>
          <a:effectLst/>
        </c:spPr>
      </c:pivotFmt>
      <c:pivotFmt>
        <c:idx val="48"/>
        <c:spPr>
          <a:solidFill>
            <a:schemeClr val="accent2"/>
          </a:solidFill>
          <a:ln w="19050">
            <a:solidFill>
              <a:schemeClr val="lt1"/>
            </a:solidFill>
          </a:ln>
          <a:effectLst/>
        </c:spPr>
      </c:pivotFmt>
      <c:pivotFmt>
        <c:idx val="49"/>
        <c:spPr>
          <a:solidFill>
            <a:schemeClr val="accent2"/>
          </a:solidFill>
          <a:ln w="19050">
            <a:solidFill>
              <a:schemeClr val="lt1"/>
            </a:solidFill>
          </a:ln>
          <a:effectLst/>
        </c:spPr>
      </c:pivotFmt>
      <c:pivotFmt>
        <c:idx val="5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1"/>
        <c:spPr>
          <a:solidFill>
            <a:schemeClr val="accent2"/>
          </a:solidFill>
          <a:ln w="19050">
            <a:solidFill>
              <a:schemeClr val="lt1"/>
            </a:solidFill>
          </a:ln>
          <a:effectLst/>
        </c:spPr>
      </c:pivotFmt>
      <c:pivotFmt>
        <c:idx val="52"/>
        <c:spPr>
          <a:solidFill>
            <a:schemeClr val="accent2"/>
          </a:solidFill>
          <a:ln w="19050">
            <a:solidFill>
              <a:schemeClr val="lt1"/>
            </a:solidFill>
          </a:ln>
          <a:effectLst/>
        </c:spPr>
      </c:pivotFmt>
      <c:pivotFmt>
        <c:idx val="53"/>
        <c:spPr>
          <a:solidFill>
            <a:schemeClr val="accent2"/>
          </a:solidFill>
          <a:ln w="19050">
            <a:solidFill>
              <a:schemeClr val="lt1"/>
            </a:solidFill>
          </a:ln>
          <a:effectLst/>
        </c:spPr>
      </c:pivotFmt>
      <c:pivotFmt>
        <c:idx val="54"/>
        <c:spPr>
          <a:solidFill>
            <a:schemeClr val="accent2"/>
          </a:solidFill>
          <a:ln w="19050">
            <a:solidFill>
              <a:schemeClr val="lt1"/>
            </a:solidFill>
          </a:ln>
          <a:effectLst/>
        </c:spPr>
      </c:pivotFmt>
      <c:pivotFmt>
        <c:idx val="5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1"/>
        <c:spPr>
          <a:solidFill>
            <a:schemeClr val="accent2"/>
          </a:solidFill>
          <a:ln w="19050">
            <a:solidFill>
              <a:schemeClr val="lt1"/>
            </a:solidFill>
          </a:ln>
          <a:effectLst/>
        </c:spPr>
      </c:pivotFmt>
      <c:pivotFmt>
        <c:idx val="62"/>
        <c:spPr>
          <a:solidFill>
            <a:schemeClr val="accent2"/>
          </a:solidFill>
          <a:ln w="19050">
            <a:solidFill>
              <a:schemeClr val="lt1"/>
            </a:solidFill>
          </a:ln>
          <a:effectLst/>
        </c:spPr>
      </c:pivotFmt>
      <c:pivotFmt>
        <c:idx val="63"/>
        <c:spPr>
          <a:solidFill>
            <a:schemeClr val="accent2"/>
          </a:solidFill>
          <a:ln w="19050">
            <a:solidFill>
              <a:schemeClr val="lt1"/>
            </a:solidFill>
          </a:ln>
          <a:effectLst/>
        </c:spPr>
      </c:pivotFmt>
      <c:pivotFmt>
        <c:idx val="64"/>
        <c:spPr>
          <a:solidFill>
            <a:schemeClr val="accent2"/>
          </a:solidFill>
          <a:ln w="19050">
            <a:solidFill>
              <a:schemeClr val="lt1"/>
            </a:solidFill>
          </a:ln>
          <a:effectLst/>
        </c:spPr>
      </c:pivotFmt>
      <c:pivotFmt>
        <c:idx val="6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1"/>
        <c:spPr>
          <a:solidFill>
            <a:schemeClr val="accent2"/>
          </a:solidFill>
          <a:ln w="19050">
            <a:solidFill>
              <a:schemeClr val="lt1"/>
            </a:solidFill>
          </a:ln>
          <a:effectLst/>
        </c:spPr>
      </c:pivotFmt>
      <c:pivotFmt>
        <c:idx val="72"/>
        <c:spPr>
          <a:solidFill>
            <a:schemeClr val="accent2"/>
          </a:solidFill>
          <a:ln w="19050">
            <a:solidFill>
              <a:schemeClr val="lt1"/>
            </a:solidFill>
          </a:ln>
          <a:effectLst/>
        </c:spPr>
      </c:pivotFmt>
      <c:pivotFmt>
        <c:idx val="73"/>
        <c:spPr>
          <a:solidFill>
            <a:schemeClr val="accent2"/>
          </a:solidFill>
          <a:ln w="19050">
            <a:solidFill>
              <a:schemeClr val="lt1"/>
            </a:solidFill>
          </a:ln>
          <a:effectLst/>
        </c:spPr>
      </c:pivotFmt>
      <c:pivotFmt>
        <c:idx val="74"/>
        <c:spPr>
          <a:solidFill>
            <a:schemeClr val="accent2"/>
          </a:solidFill>
          <a:ln w="19050">
            <a:solidFill>
              <a:schemeClr val="lt1"/>
            </a:solidFill>
          </a:ln>
          <a:effectLst/>
        </c:spPr>
      </c:pivotFmt>
      <c:pivotFmt>
        <c:idx val="7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1"/>
        <c:spPr>
          <a:solidFill>
            <a:schemeClr val="accent2"/>
          </a:solidFill>
          <a:ln w="19050">
            <a:solidFill>
              <a:schemeClr val="lt1"/>
            </a:solidFill>
          </a:ln>
          <a:effectLst/>
        </c:spPr>
      </c:pivotFmt>
      <c:pivotFmt>
        <c:idx val="82"/>
        <c:spPr>
          <a:solidFill>
            <a:schemeClr val="accent2"/>
          </a:solidFill>
          <a:ln w="19050">
            <a:solidFill>
              <a:schemeClr val="lt1"/>
            </a:solidFill>
          </a:ln>
          <a:effectLst/>
        </c:spPr>
      </c:pivotFmt>
      <c:pivotFmt>
        <c:idx val="83"/>
        <c:spPr>
          <a:solidFill>
            <a:schemeClr val="accent2"/>
          </a:solidFill>
          <a:ln w="19050">
            <a:solidFill>
              <a:schemeClr val="lt1"/>
            </a:solidFill>
          </a:ln>
          <a:effectLst/>
        </c:spPr>
      </c:pivotFmt>
      <c:pivotFmt>
        <c:idx val="84"/>
        <c:spPr>
          <a:solidFill>
            <a:schemeClr val="accent2"/>
          </a:solidFill>
          <a:ln w="19050">
            <a:solidFill>
              <a:schemeClr val="lt1"/>
            </a:solidFill>
          </a:ln>
          <a:effectLst/>
        </c:spPr>
      </c:pivotFmt>
      <c:pivotFmt>
        <c:idx val="8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1"/>
        <c:spPr>
          <a:solidFill>
            <a:schemeClr val="accent2"/>
          </a:solidFill>
          <a:ln w="19050">
            <a:solidFill>
              <a:schemeClr val="lt1"/>
            </a:solidFill>
          </a:ln>
          <a:effectLst/>
        </c:spPr>
      </c:pivotFmt>
      <c:pivotFmt>
        <c:idx val="92"/>
        <c:spPr>
          <a:solidFill>
            <a:schemeClr val="accent2"/>
          </a:solidFill>
          <a:ln w="19050">
            <a:solidFill>
              <a:schemeClr val="lt1"/>
            </a:solidFill>
          </a:ln>
          <a:effectLst/>
        </c:spPr>
      </c:pivotFmt>
      <c:pivotFmt>
        <c:idx val="93"/>
        <c:spPr>
          <a:solidFill>
            <a:schemeClr val="accent2"/>
          </a:solidFill>
          <a:ln w="19050">
            <a:solidFill>
              <a:schemeClr val="lt1"/>
            </a:solidFill>
          </a:ln>
          <a:effectLst/>
        </c:spPr>
      </c:pivotFmt>
      <c:pivotFmt>
        <c:idx val="94"/>
        <c:spPr>
          <a:solidFill>
            <a:schemeClr val="accent2"/>
          </a:solidFill>
          <a:ln w="19050">
            <a:solidFill>
              <a:schemeClr val="lt1"/>
            </a:solidFill>
          </a:ln>
          <a:effectLst/>
        </c:spPr>
      </c:pivotFmt>
      <c:pivotFmt>
        <c:idx val="9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2"/>
          </a:solidFill>
          <a:ln w="19050">
            <a:solidFill>
              <a:schemeClr val="lt1"/>
            </a:solidFill>
          </a:ln>
          <a:effectLst/>
        </c:spPr>
      </c:pivotFmt>
      <c:pivotFmt>
        <c:idx val="102"/>
        <c:spPr>
          <a:solidFill>
            <a:schemeClr val="accent2"/>
          </a:solidFill>
          <a:ln w="19050">
            <a:solidFill>
              <a:schemeClr val="lt1"/>
            </a:solidFill>
          </a:ln>
          <a:effectLst/>
        </c:spPr>
      </c:pivotFmt>
      <c:pivotFmt>
        <c:idx val="103"/>
        <c:spPr>
          <a:solidFill>
            <a:schemeClr val="accent2"/>
          </a:solidFill>
          <a:ln w="19050">
            <a:solidFill>
              <a:schemeClr val="lt1"/>
            </a:solidFill>
          </a:ln>
          <a:effectLst/>
        </c:spPr>
      </c:pivotFmt>
      <c:pivotFmt>
        <c:idx val="104"/>
        <c:spPr>
          <a:solidFill>
            <a:schemeClr val="accent2"/>
          </a:solidFill>
          <a:ln w="19050">
            <a:solidFill>
              <a:schemeClr val="lt1"/>
            </a:solidFill>
          </a:ln>
          <a:effectLst/>
        </c:spPr>
      </c:pivotFmt>
      <c:pivotFmt>
        <c:idx val="10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spPr>
          <a:solidFill>
            <a:srgbClr val="BDB4B5"/>
          </a:solidFill>
          <a:ln w="19050">
            <a:noFill/>
          </a:ln>
          <a:effectLst>
            <a:outerShdw blurRad="50800" dist="38100" dir="8100000" algn="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4"/>
          </a:solidFill>
          <a:ln w="19050">
            <a:noFill/>
          </a:ln>
          <a:effectLst>
            <a:outerShdw blurRad="50800" dist="38100" dir="8100000" algn="tr" rotWithShape="0">
              <a:prstClr val="black">
                <a:alpha val="40000"/>
              </a:prstClr>
            </a:outerShdw>
          </a:effectLst>
        </c:spPr>
      </c:pivotFmt>
      <c:pivotFmt>
        <c:idx val="114"/>
        <c:spPr>
          <a:solidFill>
            <a:srgbClr val="BDB4B5"/>
          </a:solidFill>
          <a:ln w="19050">
            <a:noFill/>
          </a:ln>
          <a:effectLst>
            <a:outerShdw blurRad="50800" dist="38100" dir="8100000" algn="tr" rotWithShape="0">
              <a:prstClr val="black">
                <a:alpha val="40000"/>
              </a:prstClr>
            </a:outerShdw>
          </a:effectLst>
        </c:spPr>
      </c:pivotFmt>
      <c:pivotFmt>
        <c:idx val="115"/>
        <c:spPr>
          <a:solidFill>
            <a:srgbClr val="BDB4B5"/>
          </a:solidFill>
          <a:ln w="19050">
            <a:noFill/>
          </a:ln>
          <a:effectLst>
            <a:outerShdw blurRad="50800" dist="38100" dir="8100000" algn="tr" rotWithShape="0">
              <a:prstClr val="black">
                <a:alpha val="40000"/>
              </a:prstClr>
            </a:outerShdw>
          </a:effectLst>
        </c:spPr>
      </c:pivotFmt>
      <c:pivotFmt>
        <c:idx val="116"/>
        <c:spPr>
          <a:solidFill>
            <a:srgbClr val="BDB4B5"/>
          </a:solidFill>
          <a:ln w="19050">
            <a:noFill/>
          </a:ln>
          <a:effectLst>
            <a:outerShdw blurRad="50800" dist="38100" dir="8100000" algn="tr" rotWithShape="0">
              <a:prstClr val="black">
                <a:alpha val="40000"/>
              </a:prstClr>
            </a:outerShdw>
          </a:effectLst>
        </c:spPr>
      </c:pivotFmt>
    </c:pivotFmts>
    <c:plotArea>
      <c:layout>
        <c:manualLayout>
          <c:layoutTarget val="inner"/>
          <c:xMode val="edge"/>
          <c:yMode val="edge"/>
          <c:x val="5.0625200626900055E-2"/>
          <c:y val="0.41551250118950589"/>
          <c:w val="0.90674295209501687"/>
          <c:h val="0.45251699441863158"/>
        </c:manualLayout>
      </c:layout>
      <c:barChart>
        <c:barDir val="col"/>
        <c:grouping val="stacked"/>
        <c:varyColors val="0"/>
        <c:ser>
          <c:idx val="0"/>
          <c:order val="0"/>
          <c:tx>
            <c:strRef>
              <c:f>pivottables!$H$38</c:f>
              <c:strCache>
                <c:ptCount val="1"/>
                <c:pt idx="0">
                  <c:v>Total</c:v>
                </c:pt>
              </c:strCache>
            </c:strRef>
          </c:tx>
          <c:spPr>
            <a:solidFill>
              <a:srgbClr val="BDB4B5"/>
            </a:solidFill>
            <a:ln w="19050">
              <a:noFill/>
            </a:ln>
            <a:effectLst>
              <a:outerShdw blurRad="50800" dist="38100" dir="8100000" algn="tr" rotWithShape="0">
                <a:prstClr val="black">
                  <a:alpha val="40000"/>
                </a:prstClr>
              </a:outerShdw>
            </a:effectLst>
          </c:spPr>
          <c:invertIfNegative val="0"/>
          <c:dPt>
            <c:idx val="3"/>
            <c:invertIfNegative val="0"/>
            <c:bubble3D val="0"/>
            <c:spPr>
              <a:solidFill>
                <a:schemeClr val="accent4"/>
              </a:solidFill>
              <a:ln w="19050">
                <a:noFill/>
              </a:ln>
              <a:effectLst>
                <a:outerShdw blurRad="50800" dist="38100" dir="8100000" algn="tr" rotWithShape="0">
                  <a:prstClr val="black">
                    <a:alpha val="40000"/>
                  </a:prstClr>
                </a:outerShdw>
              </a:effectLst>
            </c:spPr>
            <c:extLst>
              <c:ext xmlns:c16="http://schemas.microsoft.com/office/drawing/2014/chart" uri="{C3380CC4-5D6E-409C-BE32-E72D297353CC}">
                <c16:uniqueId val="{00000001-BFB7-438A-9DF5-7DAAA5855D73}"/>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pivottables!$G$39:$G$43</c:f>
              <c:strCache>
                <c:ptCount val="4"/>
                <c:pt idx="0">
                  <c:v>Q1</c:v>
                </c:pt>
                <c:pt idx="1">
                  <c:v>Q2</c:v>
                </c:pt>
                <c:pt idx="2">
                  <c:v>Q3</c:v>
                </c:pt>
                <c:pt idx="3">
                  <c:v>Q4</c:v>
                </c:pt>
              </c:strCache>
            </c:strRef>
          </c:cat>
          <c:val>
            <c:numRef>
              <c:f>pivottables!$H$39:$H$43</c:f>
              <c:numCache>
                <c:formatCode>General</c:formatCode>
                <c:ptCount val="4"/>
                <c:pt idx="0">
                  <c:v>4</c:v>
                </c:pt>
                <c:pt idx="1">
                  <c:v>5</c:v>
                </c:pt>
                <c:pt idx="2">
                  <c:v>3</c:v>
                </c:pt>
                <c:pt idx="3">
                  <c:v>11</c:v>
                </c:pt>
              </c:numCache>
            </c:numRef>
          </c:val>
          <c:extLst>
            <c:ext xmlns:c16="http://schemas.microsoft.com/office/drawing/2014/chart" uri="{C3380CC4-5D6E-409C-BE32-E72D297353CC}">
              <c16:uniqueId val="{0000000B-7118-4C14-A295-34D169B30420}"/>
            </c:ext>
          </c:extLst>
        </c:ser>
        <c:dLbls>
          <c:showLegendKey val="0"/>
          <c:showVal val="1"/>
          <c:showCatName val="0"/>
          <c:showSerName val="0"/>
          <c:showPercent val="0"/>
          <c:showBubbleSize val="0"/>
        </c:dLbls>
        <c:gapWidth val="69"/>
        <c:overlap val="100"/>
        <c:axId val="152723975"/>
        <c:axId val="152726023"/>
      </c:barChart>
      <c:catAx>
        <c:axId val="152723975"/>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26023"/>
        <c:crosses val="autoZero"/>
        <c:auto val="1"/>
        <c:lblAlgn val="ctr"/>
        <c:lblOffset val="100"/>
        <c:noMultiLvlLbl val="0"/>
      </c:catAx>
      <c:valAx>
        <c:axId val="152726023"/>
        <c:scaling>
          <c:orientation val="minMax"/>
        </c:scaling>
        <c:delete val="1"/>
        <c:axPos val="l"/>
        <c:numFmt formatCode="General" sourceLinked="1"/>
        <c:majorTickMark val="out"/>
        <c:minorTickMark val="none"/>
        <c:tickLblPos val="nextTo"/>
        <c:crossAx val="1527239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[2024 Beneficiary king fahad library Analysis .xlsm]pivottables!PivotTable1</c:name>
    <c:fmtId val="30"/>
  </c:pivotSource>
  <c:chart>
    <c:title>
      <c:tx>
        <c:rich>
          <a:bodyPr rot="0" spcFirstLastPara="1" vertOverflow="ellipsis" vert="horz" wrap="square" anchor="ctr" anchorCtr="1"/>
          <a:lstStyle/>
          <a:p>
            <a:pPr algn="l">
              <a:defRPr sz="1100" b="1" i="0" u="none" strike="noStrike" kern="1200" baseline="0">
                <a:solidFill>
                  <a:schemeClr val="tx1">
                    <a:lumMod val="65000"/>
                    <a:lumOff val="35000"/>
                  </a:schemeClr>
                </a:solidFill>
                <a:latin typeface="+mn-lt"/>
                <a:ea typeface="+mn-ea"/>
                <a:cs typeface="+mn-cs"/>
              </a:defRPr>
            </a:pPr>
            <a:r>
              <a:rPr lang="en-US" sz="1100">
                <a:solidFill>
                  <a:srgbClr val="594B45"/>
                </a:solidFill>
              </a:rPr>
              <a:t>Monthly visitors</a:t>
            </a:r>
          </a:p>
          <a:p>
            <a:pPr algn="l">
              <a:defRPr sz="1100"/>
            </a:pPr>
            <a:endParaRPr lang="en-US" sz="1100"/>
          </a:p>
        </c:rich>
      </c:tx>
      <c:layout>
        <c:manualLayout>
          <c:xMode val="edge"/>
          <c:yMode val="edge"/>
          <c:x val="9.8696563300728658E-3"/>
          <c:y val="6.2337645338611219E-2"/>
        </c:manualLayout>
      </c:layout>
      <c:overlay val="0"/>
      <c:spPr>
        <a:noFill/>
        <a:ln>
          <a:noFill/>
        </a:ln>
        <a:effectLst/>
      </c:spPr>
      <c:txPr>
        <a:bodyPr rot="0" spcFirstLastPara="1" vertOverflow="ellipsis" vert="horz" wrap="square" anchor="ctr" anchorCtr="1"/>
        <a:lstStyle/>
        <a:p>
          <a:pPr algn="l">
            <a:defRPr sz="11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6.6864472129663052E-2"/>
              <c:y val="-8.63492236168926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10280337599309521"/>
              <c:y val="8.12698575217812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9.5283089613798277E-2"/>
              <c:y val="6.09523931413359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10736763644725678"/>
              <c:y val="-5.07936609511133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7.7412398921832881E-2"/>
              <c:y val="-5.58730270462246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6.6531966523052544E-2"/>
              <c:y val="4.06349287608905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6.6630727762803238E-2"/>
              <c:y val="5.58730270462246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8.4600179694519315E-2"/>
              <c:y val="-3.5555562665779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9.5381850853549097E-2"/>
              <c:y val="-4.06349287608906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7.3818508535489796E-2"/>
              <c:y val="-6.09523931413359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7.3818508535489671E-2"/>
              <c:y val="4.57142948560019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2.6138336481524714E-2"/>
              <c:y val="-6.09523931413359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0.13004318008636018"/>
              <c:y val="9.696967052672850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8.7032427398188131E-2"/>
              <c:y val="-0.10389607556435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7.4236559139785024E-2"/>
              <c:y val="8.31168604514816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8.7139784946236559E-2"/>
              <c:y val="9.6969670526728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8.4043010752688177E-2"/>
              <c:y val="0.1108224806019753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0.1012473118279569"/>
              <c:y val="-0.110822480601975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7.2054186775040219E-2"/>
              <c:y val="9.00432654891050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0"/>
              <c:y val="-6.9264050376234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0.13135483870967748"/>
              <c:y val="-9.00432654891050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0.13135483870967743"/>
              <c:y val="-6.9264050376234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9.6946236559139823E-2"/>
              <c:y val="-9.00432654891051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ln w="34925" cap="rnd">
            <a:solidFill>
              <a:schemeClr val="accent4"/>
            </a:solidFill>
            <a:round/>
          </a:ln>
          <a:effectLst>
            <a:outerShdw blurRad="57150" dist="19050" dir="5400000" algn="ctr" rotWithShape="0">
              <a:srgbClr val="000000">
                <a:alpha val="63000"/>
              </a:srgbClr>
            </a:outerShdw>
          </a:effectLst>
        </c:spPr>
        <c:marker>
          <c:symbol val="circle"/>
          <c:size val="6"/>
        </c:marker>
        <c:dLbl>
          <c:idx val="0"/>
          <c:layout>
            <c:manualLayout>
              <c:x val="-4.4129032258064513E-2"/>
              <c:y val="6.9264050376234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473046947650486E-2"/>
          <c:y val="0.29845879307119533"/>
          <c:w val="0.91738142409618151"/>
          <c:h val="0.58478819653319791"/>
        </c:manualLayout>
      </c:layout>
      <c:lineChart>
        <c:grouping val="standard"/>
        <c:varyColors val="0"/>
        <c:ser>
          <c:idx val="0"/>
          <c:order val="0"/>
          <c:tx>
            <c:strRef>
              <c:f>pivottables!$C$20</c:f>
              <c:strCache>
                <c:ptCount val="1"/>
                <c:pt idx="0">
                  <c:v>Total</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C568-4F8D-9EC8-81D18BE2A6BB}"/>
              </c:ext>
            </c:extLst>
          </c:dPt>
          <c:dPt>
            <c:idx val="1"/>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568-4F8D-9EC8-81D18BE2A6BB}"/>
              </c:ext>
            </c:extLst>
          </c:dPt>
          <c:dPt>
            <c:idx val="2"/>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C568-4F8D-9EC8-81D18BE2A6BB}"/>
              </c:ext>
            </c:extLst>
          </c:dPt>
          <c:dPt>
            <c:idx val="3"/>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568-4F8D-9EC8-81D18BE2A6BB}"/>
              </c:ext>
            </c:extLst>
          </c:dPt>
          <c:dPt>
            <c:idx val="4"/>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568-4F8D-9EC8-81D18BE2A6BB}"/>
              </c:ext>
            </c:extLst>
          </c:dPt>
          <c:dPt>
            <c:idx val="5"/>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C568-4F8D-9EC8-81D18BE2A6BB}"/>
              </c:ext>
            </c:extLst>
          </c:dPt>
          <c:dPt>
            <c:idx val="6"/>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C568-4F8D-9EC8-81D18BE2A6BB}"/>
              </c:ext>
            </c:extLst>
          </c:dPt>
          <c:dPt>
            <c:idx val="7"/>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568-4F8D-9EC8-81D18BE2A6BB}"/>
              </c:ext>
            </c:extLst>
          </c:dPt>
          <c:dPt>
            <c:idx val="8"/>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568-4F8D-9EC8-81D18BE2A6BB}"/>
              </c:ext>
            </c:extLst>
          </c:dPt>
          <c:dPt>
            <c:idx val="9"/>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C568-4F8D-9EC8-81D18BE2A6BB}"/>
              </c:ext>
            </c:extLst>
          </c:dPt>
          <c:dPt>
            <c:idx val="10"/>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C568-4F8D-9EC8-81D18BE2A6BB}"/>
              </c:ext>
            </c:extLst>
          </c:dPt>
          <c:dPt>
            <c:idx val="11"/>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bubble3D val="0"/>
            <c:spPr>
              <a:ln w="34925" cap="rnd">
                <a:solidFill>
                  <a:schemeClr val="accent4"/>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C568-4F8D-9EC8-81D18BE2A6BB}"/>
              </c:ext>
            </c:extLst>
          </c:dPt>
          <c:dLbls>
            <c:dLbl>
              <c:idx val="0"/>
              <c:layout>
                <c:manualLayout>
                  <c:x val="-0.13004318008636018"/>
                  <c:y val="9.69696705267285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568-4F8D-9EC8-81D18BE2A6BB}"/>
                </c:ext>
              </c:extLst>
            </c:dLbl>
            <c:dLbl>
              <c:idx val="1"/>
              <c:layout>
                <c:manualLayout>
                  <c:x val="-8.7032427398188131E-2"/>
                  <c:y val="-0.103896075564352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568-4F8D-9EC8-81D18BE2A6BB}"/>
                </c:ext>
              </c:extLst>
            </c:dLbl>
            <c:dLbl>
              <c:idx val="2"/>
              <c:layout>
                <c:manualLayout>
                  <c:x val="-8.7139784946236559E-2"/>
                  <c:y val="9.696967052672855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568-4F8D-9EC8-81D18BE2A6BB}"/>
                </c:ext>
              </c:extLst>
            </c:dLbl>
            <c:dLbl>
              <c:idx val="3"/>
              <c:layout>
                <c:manualLayout>
                  <c:x val="-4.4129032258064513E-2"/>
                  <c:y val="6.9264050376234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68-4F8D-9EC8-81D18BE2A6BB}"/>
                </c:ext>
              </c:extLst>
            </c:dLbl>
            <c:dLbl>
              <c:idx val="4"/>
              <c:layout>
                <c:manualLayout>
                  <c:x val="-9.6946236559139823E-2"/>
                  <c:y val="-9.004326548910512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568-4F8D-9EC8-81D18BE2A6BB}"/>
                </c:ext>
              </c:extLst>
            </c:dLbl>
            <c:dLbl>
              <c:idx val="5"/>
              <c:layout>
                <c:manualLayout>
                  <c:x val="-7.4236559139785024E-2"/>
                  <c:y val="8.3116860451481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568-4F8D-9EC8-81D18BE2A6BB}"/>
                </c:ext>
              </c:extLst>
            </c:dLbl>
            <c:dLbl>
              <c:idx val="6"/>
              <c:layout>
                <c:manualLayout>
                  <c:x val="-0.13135483870967743"/>
                  <c:y val="-6.9264050376234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568-4F8D-9EC8-81D18BE2A6BB}"/>
                </c:ext>
              </c:extLst>
            </c:dLbl>
            <c:dLbl>
              <c:idx val="7"/>
              <c:layout>
                <c:manualLayout>
                  <c:x val="-8.4043010752688177E-2"/>
                  <c:y val="0.1108224806019753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568-4F8D-9EC8-81D18BE2A6BB}"/>
                </c:ext>
              </c:extLst>
            </c:dLbl>
            <c:dLbl>
              <c:idx val="8"/>
              <c:layout>
                <c:manualLayout>
                  <c:x val="-0.13135483870967748"/>
                  <c:y val="-9.00432654891050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568-4F8D-9EC8-81D18BE2A6BB}"/>
                </c:ext>
              </c:extLst>
            </c:dLbl>
            <c:dLbl>
              <c:idx val="9"/>
              <c:layout>
                <c:manualLayout>
                  <c:x val="-0.1012473118279569"/>
                  <c:y val="-0.1108224806019755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568-4F8D-9EC8-81D18BE2A6BB}"/>
                </c:ext>
              </c:extLst>
            </c:dLbl>
            <c:dLbl>
              <c:idx val="10"/>
              <c:layout>
                <c:manualLayout>
                  <c:x val="-7.2054186775040219E-2"/>
                  <c:y val="9.00432654891050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568-4F8D-9EC8-81D18BE2A6BB}"/>
                </c:ext>
              </c:extLst>
            </c:dLbl>
            <c:dLbl>
              <c:idx val="11"/>
              <c:layout>
                <c:manualLayout>
                  <c:x val="0"/>
                  <c:y val="-6.926405037623471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568-4F8D-9EC8-81D18BE2A6B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tx1">
                    <a:lumMod val="50000"/>
                    <a:lumOff val="50000"/>
                    <a:alpha val="26000"/>
                  </a:schemeClr>
                </a:solidFill>
                <a:prstDash val="sysDash"/>
                <a:headEnd type="none"/>
                <a:tailEnd type="none"/>
              </a:ln>
              <a:effectLst/>
            </c:spPr>
            <c:trendlineType val="linear"/>
            <c:dispRSqr val="0"/>
            <c:dispEq val="0"/>
          </c:trendline>
          <c:cat>
            <c:strRef>
              <c:f>pivottables!$B$21:$B$33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pivottables!$C$21:$C$33</c:f>
              <c:numCache>
                <c:formatCode>_(* #,##0_);_(* \(#,##0\);_(* "-"??_);_(@_)</c:formatCode>
                <c:ptCount val="12"/>
                <c:pt idx="0">
                  <c:v>10847</c:v>
                </c:pt>
                <c:pt idx="1">
                  <c:v>11012</c:v>
                </c:pt>
                <c:pt idx="2">
                  <c:v>6428</c:v>
                </c:pt>
                <c:pt idx="3">
                  <c:v>7712</c:v>
                </c:pt>
                <c:pt idx="4">
                  <c:v>18116</c:v>
                </c:pt>
                <c:pt idx="5">
                  <c:v>6471</c:v>
                </c:pt>
                <c:pt idx="6">
                  <c:v>12344</c:v>
                </c:pt>
                <c:pt idx="7">
                  <c:v>12863</c:v>
                </c:pt>
                <c:pt idx="8">
                  <c:v>14061</c:v>
                </c:pt>
                <c:pt idx="9">
                  <c:v>16745</c:v>
                </c:pt>
                <c:pt idx="10">
                  <c:v>14343</c:v>
                </c:pt>
                <c:pt idx="11">
                  <c:v>20479</c:v>
                </c:pt>
              </c:numCache>
            </c:numRef>
          </c:val>
          <c:smooth val="0"/>
          <c:extLst>
            <c:ext xmlns:c16="http://schemas.microsoft.com/office/drawing/2014/chart" uri="{C3380CC4-5D6E-409C-BE32-E72D297353CC}">
              <c16:uniqueId val="{00000000-C568-4F8D-9EC8-81D18BE2A6BB}"/>
            </c:ext>
          </c:extLst>
        </c:ser>
        <c:dLbls>
          <c:showLegendKey val="0"/>
          <c:showVal val="0"/>
          <c:showCatName val="0"/>
          <c:showSerName val="0"/>
          <c:showPercent val="0"/>
          <c:showBubbleSize val="0"/>
        </c:dLbls>
        <c:marker val="1"/>
        <c:smooth val="0"/>
        <c:axId val="396343855"/>
        <c:axId val="396338095"/>
      </c:lineChart>
      <c:catAx>
        <c:axId val="396343855"/>
        <c:scaling>
          <c:orientation val="minMax"/>
        </c:scaling>
        <c:delete val="0"/>
        <c:axPos val="b"/>
        <c:numFmt formatCode="General" sourceLinked="1"/>
        <c:majorTickMark val="cross"/>
        <c:minorTickMark val="none"/>
        <c:tickLblPos val="nextTo"/>
        <c:spPr>
          <a:noFill/>
          <a:ln w="12700" cap="flat" cmpd="sng" algn="ctr">
            <a:solidFill>
              <a:schemeClr val="tx1">
                <a:lumMod val="15000"/>
                <a:lumOff val="85000"/>
              </a:schemeClr>
            </a:solidFill>
            <a:round/>
          </a:ln>
          <a:effectLst>
            <a:softEdge rad="0"/>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96338095"/>
        <c:crosses val="autoZero"/>
        <c:auto val="1"/>
        <c:lblAlgn val="ctr"/>
        <c:lblOffset val="100"/>
        <c:noMultiLvlLbl val="0"/>
      </c:catAx>
      <c:valAx>
        <c:axId val="396338095"/>
        <c:scaling>
          <c:orientation val="minMax"/>
        </c:scaling>
        <c:delete val="1"/>
        <c:axPos val="l"/>
        <c:numFmt formatCode="_(* #,##0_);_(* \(#,##0\);_(* &quot;-&quot;??_);_(@_)" sourceLinked="1"/>
        <c:majorTickMark val="none"/>
        <c:minorTickMark val="none"/>
        <c:tickLblPos val="nextTo"/>
        <c:crossAx val="3963438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a:effectLst>
              <a:outerShdw blurRad="50800" dist="38100" dir="10800000" algn="r" rotWithShape="0">
                <a:prstClr val="black">
                  <a:alpha val="40000"/>
                </a:prstClr>
              </a:outerShdw>
            </a:effectLst>
          </c:spPr>
          <c:dPt>
            <c:idx val="0"/>
            <c:bubble3D val="0"/>
            <c:spPr>
              <a:solidFill>
                <a:schemeClr val="accent4"/>
              </a:solidFill>
              <a:ln w="19050">
                <a:noFill/>
              </a:ln>
              <a:effectLst>
                <a:outerShdw blurRad="50800" dist="38100" dir="10800000" algn="r" rotWithShape="0">
                  <a:prstClr val="black">
                    <a:alpha val="40000"/>
                  </a:prstClr>
                </a:outerShdw>
              </a:effectLst>
            </c:spPr>
            <c:extLst>
              <c:ext xmlns:c16="http://schemas.microsoft.com/office/drawing/2014/chart" uri="{C3380CC4-5D6E-409C-BE32-E72D297353CC}">
                <c16:uniqueId val="{00000016-FC42-42C9-A8AC-FC9DD3F528AA}"/>
              </c:ext>
            </c:extLst>
          </c:dPt>
          <c:dPt>
            <c:idx val="1"/>
            <c:bubble3D val="0"/>
            <c:spPr>
              <a:solidFill>
                <a:srgbClr val="BDB4B5"/>
              </a:solidFill>
              <a:ln w="19050">
                <a:noFill/>
              </a:ln>
              <a:effectLst>
                <a:outerShdw blurRad="50800" dist="38100" dir="10800000" algn="r" rotWithShape="0">
                  <a:prstClr val="black">
                    <a:alpha val="40000"/>
                  </a:prstClr>
                </a:outerShdw>
              </a:effectLst>
            </c:spPr>
            <c:extLst>
              <c:ext xmlns:c16="http://schemas.microsoft.com/office/drawing/2014/chart" uri="{C3380CC4-5D6E-409C-BE32-E72D297353CC}">
                <c16:uniqueId val="{00000018-FC42-42C9-A8AC-FC9DD3F528AA}"/>
              </c:ext>
            </c:extLst>
          </c:dPt>
          <c:dLbls>
            <c:dLbl>
              <c:idx val="0"/>
              <c:layout>
                <c:manualLayout>
                  <c:x val="-0.11480199171133827"/>
                  <c:y val="-0.1233782037068084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6-FC42-42C9-A8AC-FC9DD3F528AA}"/>
                </c:ext>
              </c:extLst>
            </c:dLbl>
            <c:dLbl>
              <c:idx val="1"/>
              <c:layout>
                <c:manualLayout>
                  <c:x val="2.0860127395235045E-2"/>
                  <c:y val="0.1714828856211094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8-FC42-42C9-A8AC-FC9DD3F528A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pivottables!$G$31:$H$31</c:f>
              <c:strCache>
                <c:ptCount val="2"/>
                <c:pt idx="0">
                  <c:v>official working hours </c:v>
                </c:pt>
                <c:pt idx="1">
                  <c:v>beneficiary serivce hours </c:v>
                </c:pt>
              </c:strCache>
            </c:strRef>
          </c:cat>
          <c:val>
            <c:numRef>
              <c:f>pivottables!$G$32:$H$32</c:f>
              <c:numCache>
                <c:formatCode>General</c:formatCode>
                <c:ptCount val="2"/>
                <c:pt idx="0">
                  <c:v>35</c:v>
                </c:pt>
                <c:pt idx="1">
                  <c:v>60.5</c:v>
                </c:pt>
              </c:numCache>
            </c:numRef>
          </c:val>
          <c:extLst>
            <c:ext xmlns:c16="http://schemas.microsoft.com/office/drawing/2014/chart" uri="{C3380CC4-5D6E-409C-BE32-E72D297353CC}">
              <c16:uniqueId val="{00000019-FC42-42C9-A8AC-FC9DD3F528AA}"/>
            </c:ext>
          </c:extLst>
        </c:ser>
        <c:dLbls>
          <c:dLblPos val="outEnd"/>
          <c:showLegendKey val="0"/>
          <c:showVal val="1"/>
          <c:showCatName val="0"/>
          <c:showSerName val="0"/>
          <c:showPercent val="0"/>
          <c:showBubbleSize val="0"/>
          <c:showLeaderLines val="1"/>
        </c:dLbls>
        <c:firstSliceAng val="241"/>
      </c:pie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300"/>
        <c:holeSize val="74"/>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6.gif"/><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chart" Target="../charts/chart7.xml"/><Relationship Id="rId17" Type="http://schemas.openxmlformats.org/officeDocument/2006/relationships/hyperlink" Target="https://kfnl.gov.sa/Ar/EServices/Pages/Guide.aspx" TargetMode="External"/><Relationship Id="rId2" Type="http://schemas.openxmlformats.org/officeDocument/2006/relationships/image" Target="../media/image2.png"/><Relationship Id="rId16" Type="http://schemas.openxmlformats.org/officeDocument/2006/relationships/hyperlink" Target="#pivottables!A1"/><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chart" Target="../charts/chart1.xml"/><Relationship Id="rId15" Type="http://schemas.microsoft.com/office/2007/relationships/hdphoto" Target="../media/hdphoto1.wdp"/><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220134</xdr:colOff>
      <xdr:row>1</xdr:row>
      <xdr:rowOff>75584</xdr:rowOff>
    </xdr:from>
    <xdr:to>
      <xdr:col>8</xdr:col>
      <xdr:colOff>152399</xdr:colOff>
      <xdr:row>13</xdr:row>
      <xdr:rowOff>99</xdr:rowOff>
    </xdr:to>
    <xdr:sp macro="" textlink="">
      <xdr:nvSpPr>
        <xdr:cNvPr id="23" name="Rectangle: Rounded Corners 22">
          <a:extLst>
            <a:ext uri="{FF2B5EF4-FFF2-40B4-BE49-F238E27FC236}">
              <a16:creationId xmlns:a16="http://schemas.microsoft.com/office/drawing/2014/main" id="{AD7EC671-DE40-4DBC-9886-FA8752A96DC6}"/>
            </a:ext>
          </a:extLst>
        </xdr:cNvPr>
        <xdr:cNvSpPr/>
      </xdr:nvSpPr>
      <xdr:spPr>
        <a:xfrm>
          <a:off x="220134" y="254178"/>
          <a:ext cx="5123390" cy="2067640"/>
        </a:xfrm>
        <a:prstGeom prst="roundRect">
          <a:avLst>
            <a:gd name="adj" fmla="val 6265"/>
          </a:avLst>
        </a:prstGeom>
        <a:solidFill>
          <a:srgbClr val="EFEDE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8</xdr:col>
      <xdr:colOff>304801</xdr:colOff>
      <xdr:row>14</xdr:row>
      <xdr:rowOff>9231</xdr:rowOff>
    </xdr:from>
    <xdr:to>
      <xdr:col>12</xdr:col>
      <xdr:colOff>425686</xdr:colOff>
      <xdr:row>25</xdr:row>
      <xdr:rowOff>76201</xdr:rowOff>
    </xdr:to>
    <xdr:sp macro="" textlink="">
      <xdr:nvSpPr>
        <xdr:cNvPr id="40" name="Rectangle: Rounded Corners 39">
          <a:extLst>
            <a:ext uri="{FF2B5EF4-FFF2-40B4-BE49-F238E27FC236}">
              <a16:creationId xmlns:a16="http://schemas.microsoft.com/office/drawing/2014/main" id="{7A0D8D4D-1894-4EAE-AB54-DC749D8B3E04}"/>
            </a:ext>
          </a:extLst>
        </xdr:cNvPr>
        <xdr:cNvSpPr/>
      </xdr:nvSpPr>
      <xdr:spPr>
        <a:xfrm>
          <a:off x="5486401" y="2542881"/>
          <a:ext cx="2711685" cy="2057695"/>
        </a:xfrm>
        <a:prstGeom prst="roundRect">
          <a:avLst>
            <a:gd name="adj" fmla="val 6265"/>
          </a:avLst>
        </a:prstGeom>
        <a:solidFill>
          <a:srgbClr val="EFEDE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546098</xdr:colOff>
      <xdr:row>14</xdr:row>
      <xdr:rowOff>9231</xdr:rowOff>
    </xdr:from>
    <xdr:to>
      <xdr:col>20</xdr:col>
      <xdr:colOff>422273</xdr:colOff>
      <xdr:row>25</xdr:row>
      <xdr:rowOff>82081</xdr:rowOff>
    </xdr:to>
    <xdr:sp macro="" textlink="">
      <xdr:nvSpPr>
        <xdr:cNvPr id="32" name="Rectangle: Rounded Corners 31">
          <a:extLst>
            <a:ext uri="{FF2B5EF4-FFF2-40B4-BE49-F238E27FC236}">
              <a16:creationId xmlns:a16="http://schemas.microsoft.com/office/drawing/2014/main" id="{DA462C85-3FFD-40D3-9BD6-C99E25CDE943}"/>
            </a:ext>
          </a:extLst>
        </xdr:cNvPr>
        <xdr:cNvSpPr/>
      </xdr:nvSpPr>
      <xdr:spPr>
        <a:xfrm>
          <a:off x="8318498" y="2542881"/>
          <a:ext cx="5057775" cy="2063575"/>
        </a:xfrm>
        <a:prstGeom prst="roundRect">
          <a:avLst>
            <a:gd name="adj" fmla="val 6265"/>
          </a:avLst>
        </a:prstGeom>
        <a:solidFill>
          <a:srgbClr val="EFEDE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8</xdr:col>
      <xdr:colOff>306423</xdr:colOff>
      <xdr:row>1</xdr:row>
      <xdr:rowOff>66382</xdr:rowOff>
    </xdr:from>
    <xdr:to>
      <xdr:col>20</xdr:col>
      <xdr:colOff>407986</xdr:colOff>
      <xdr:row>13</xdr:row>
      <xdr:rowOff>683</xdr:rowOff>
    </xdr:to>
    <xdr:sp macro="" textlink="">
      <xdr:nvSpPr>
        <xdr:cNvPr id="6" name="Rectangle: Rounded Corners 5">
          <a:extLst>
            <a:ext uri="{FF2B5EF4-FFF2-40B4-BE49-F238E27FC236}">
              <a16:creationId xmlns:a16="http://schemas.microsoft.com/office/drawing/2014/main" id="{6725B7AB-205C-9EE9-5974-EDC4D82C3F20}"/>
            </a:ext>
          </a:extLst>
        </xdr:cNvPr>
        <xdr:cNvSpPr/>
      </xdr:nvSpPr>
      <xdr:spPr>
        <a:xfrm>
          <a:off x="5488023" y="247357"/>
          <a:ext cx="7873963" cy="2106001"/>
        </a:xfrm>
        <a:prstGeom prst="roundRect">
          <a:avLst>
            <a:gd name="adj" fmla="val 6265"/>
          </a:avLst>
        </a:prstGeom>
        <a:solidFill>
          <a:srgbClr val="EFEDE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11</xdr:col>
      <xdr:colOff>36747</xdr:colOff>
      <xdr:row>2</xdr:row>
      <xdr:rowOff>156868</xdr:rowOff>
    </xdr:from>
    <xdr:to>
      <xdr:col>12</xdr:col>
      <xdr:colOff>626506</xdr:colOff>
      <xdr:row>11</xdr:row>
      <xdr:rowOff>61692</xdr:rowOff>
    </xdr:to>
    <xdr:sp macro="" textlink="">
      <xdr:nvSpPr>
        <xdr:cNvPr id="7" name="Rectangle: Rounded Corners 6">
          <a:extLst>
            <a:ext uri="{FF2B5EF4-FFF2-40B4-BE49-F238E27FC236}">
              <a16:creationId xmlns:a16="http://schemas.microsoft.com/office/drawing/2014/main" id="{DADE62CE-27DF-4835-9DAF-A5F0C3688BB9}"/>
            </a:ext>
          </a:extLst>
        </xdr:cNvPr>
        <xdr:cNvSpPr/>
      </xdr:nvSpPr>
      <xdr:spPr>
        <a:xfrm>
          <a:off x="7151099" y="521405"/>
          <a:ext cx="1236518" cy="1545241"/>
        </a:xfrm>
        <a:prstGeom prst="roundRect">
          <a:avLst>
            <a:gd name="adj" fmla="val 8957"/>
          </a:avLst>
        </a:prstGeom>
        <a:solidFill>
          <a:schemeClr val="bg1"/>
        </a:solidFill>
        <a:ln>
          <a:noFill/>
        </a:ln>
        <a:effectLst>
          <a:outerShdw blurRad="254000" sx="102000" sy="102000" algn="ctr"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432034</xdr:colOff>
      <xdr:row>2</xdr:row>
      <xdr:rowOff>156868</xdr:rowOff>
    </xdr:from>
    <xdr:to>
      <xdr:col>10</xdr:col>
      <xdr:colOff>375034</xdr:colOff>
      <xdr:row>11</xdr:row>
      <xdr:rowOff>61692</xdr:rowOff>
    </xdr:to>
    <xdr:sp macro="" textlink="">
      <xdr:nvSpPr>
        <xdr:cNvPr id="8" name="Rectangle: Rounded Corners 7">
          <a:extLst>
            <a:ext uri="{FF2B5EF4-FFF2-40B4-BE49-F238E27FC236}">
              <a16:creationId xmlns:a16="http://schemas.microsoft.com/office/drawing/2014/main" id="{B41ABDD1-CDE0-4113-A297-1D2A81B148F1}"/>
            </a:ext>
          </a:extLst>
        </xdr:cNvPr>
        <xdr:cNvSpPr/>
      </xdr:nvSpPr>
      <xdr:spPr>
        <a:xfrm>
          <a:off x="5606108" y="521405"/>
          <a:ext cx="1236519" cy="1545241"/>
        </a:xfrm>
        <a:prstGeom prst="roundRect">
          <a:avLst>
            <a:gd name="adj" fmla="val 8957"/>
          </a:avLst>
        </a:prstGeom>
        <a:solidFill>
          <a:srgbClr val="72615A"/>
        </a:solidFill>
        <a:ln>
          <a:noFill/>
        </a:ln>
        <a:effectLst>
          <a:outerShdw blurRad="254000" sx="102000" sy="102000" algn="ctr"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4">
                <a:lumMod val="40000"/>
                <a:lumOff val="60000"/>
              </a:schemeClr>
            </a:solidFill>
          </a:endParaRPr>
        </a:p>
      </xdr:txBody>
    </xdr:sp>
    <xdr:clientData/>
  </xdr:twoCellAnchor>
  <xdr:twoCellAnchor>
    <xdr:from>
      <xdr:col>13</xdr:col>
      <xdr:colOff>289160</xdr:colOff>
      <xdr:row>2</xdr:row>
      <xdr:rowOff>156868</xdr:rowOff>
    </xdr:from>
    <xdr:to>
      <xdr:col>15</xdr:col>
      <xdr:colOff>232160</xdr:colOff>
      <xdr:row>11</xdr:row>
      <xdr:rowOff>61692</xdr:rowOff>
    </xdr:to>
    <xdr:sp macro="" textlink="">
      <xdr:nvSpPr>
        <xdr:cNvPr id="9" name="Rectangle: Rounded Corners 8">
          <a:extLst>
            <a:ext uri="{FF2B5EF4-FFF2-40B4-BE49-F238E27FC236}">
              <a16:creationId xmlns:a16="http://schemas.microsoft.com/office/drawing/2014/main" id="{54A4B016-C64E-4D54-AA54-388307620A63}"/>
            </a:ext>
          </a:extLst>
        </xdr:cNvPr>
        <xdr:cNvSpPr/>
      </xdr:nvSpPr>
      <xdr:spPr>
        <a:xfrm>
          <a:off x="8697030" y="521405"/>
          <a:ext cx="1236519" cy="1545241"/>
        </a:xfrm>
        <a:prstGeom prst="roundRect">
          <a:avLst>
            <a:gd name="adj" fmla="val 8957"/>
          </a:avLst>
        </a:prstGeom>
        <a:solidFill>
          <a:schemeClr val="bg1"/>
        </a:solidFill>
        <a:ln>
          <a:noFill/>
        </a:ln>
        <a:effectLst>
          <a:outerShdw blurRad="254000" sx="102000" sy="102000" algn="ctr"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541573</xdr:colOff>
      <xdr:row>2</xdr:row>
      <xdr:rowOff>156868</xdr:rowOff>
    </xdr:from>
    <xdr:to>
      <xdr:col>17</xdr:col>
      <xdr:colOff>484573</xdr:colOff>
      <xdr:row>11</xdr:row>
      <xdr:rowOff>61692</xdr:rowOff>
    </xdr:to>
    <xdr:sp macro="" textlink="">
      <xdr:nvSpPr>
        <xdr:cNvPr id="10" name="Rectangle: Rounded Corners 9">
          <a:extLst>
            <a:ext uri="{FF2B5EF4-FFF2-40B4-BE49-F238E27FC236}">
              <a16:creationId xmlns:a16="http://schemas.microsoft.com/office/drawing/2014/main" id="{BF6C4B11-27C4-4B91-9E54-DE9E7EFEA0DF}"/>
            </a:ext>
          </a:extLst>
        </xdr:cNvPr>
        <xdr:cNvSpPr/>
      </xdr:nvSpPr>
      <xdr:spPr>
        <a:xfrm>
          <a:off x="10242962" y="521405"/>
          <a:ext cx="1236518" cy="1545241"/>
        </a:xfrm>
        <a:prstGeom prst="roundRect">
          <a:avLst>
            <a:gd name="adj" fmla="val 8957"/>
          </a:avLst>
        </a:prstGeom>
        <a:solidFill>
          <a:sysClr val="window" lastClr="FFFFFF"/>
        </a:solidFill>
        <a:ln>
          <a:noFill/>
        </a:ln>
        <a:effectLst>
          <a:outerShdw blurRad="254000" sx="102000" sy="102000" algn="ctr"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146285</xdr:colOff>
      <xdr:row>2</xdr:row>
      <xdr:rowOff>156868</xdr:rowOff>
    </xdr:from>
    <xdr:to>
      <xdr:col>20</xdr:col>
      <xdr:colOff>89285</xdr:colOff>
      <xdr:row>11</xdr:row>
      <xdr:rowOff>61692</xdr:rowOff>
    </xdr:to>
    <xdr:sp macro="" textlink="">
      <xdr:nvSpPr>
        <xdr:cNvPr id="12" name="Rectangle: Rounded Corners 11">
          <a:extLst>
            <a:ext uri="{FF2B5EF4-FFF2-40B4-BE49-F238E27FC236}">
              <a16:creationId xmlns:a16="http://schemas.microsoft.com/office/drawing/2014/main" id="{B23A9B96-509E-43A7-A72A-758A061C5AAC}"/>
            </a:ext>
          </a:extLst>
        </xdr:cNvPr>
        <xdr:cNvSpPr/>
      </xdr:nvSpPr>
      <xdr:spPr>
        <a:xfrm>
          <a:off x="11787952" y="521405"/>
          <a:ext cx="1236518" cy="1545241"/>
        </a:xfrm>
        <a:prstGeom prst="roundRect">
          <a:avLst>
            <a:gd name="adj" fmla="val 8957"/>
          </a:avLst>
        </a:prstGeom>
        <a:solidFill>
          <a:schemeClr val="bg1"/>
        </a:solidFill>
        <a:ln>
          <a:noFill/>
        </a:ln>
        <a:effectLst>
          <a:outerShdw blurRad="254000" sx="102000" sy="102000" algn="ctr"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408225</xdr:colOff>
      <xdr:row>2</xdr:row>
      <xdr:rowOff>17462</xdr:rowOff>
    </xdr:from>
    <xdr:to>
      <xdr:col>12</xdr:col>
      <xdr:colOff>265349</xdr:colOff>
      <xdr:row>4</xdr:row>
      <xdr:rowOff>147643</xdr:rowOff>
    </xdr:to>
    <xdr:sp macro="" textlink="">
      <xdr:nvSpPr>
        <xdr:cNvPr id="18" name="Oval 17">
          <a:extLst>
            <a:ext uri="{FF2B5EF4-FFF2-40B4-BE49-F238E27FC236}">
              <a16:creationId xmlns:a16="http://schemas.microsoft.com/office/drawing/2014/main" id="{C14C597E-4D56-C60F-FB09-00F974ECF98B}"/>
            </a:ext>
          </a:extLst>
        </xdr:cNvPr>
        <xdr:cNvSpPr/>
      </xdr:nvSpPr>
      <xdr:spPr>
        <a:xfrm>
          <a:off x="7522577" y="381999"/>
          <a:ext cx="503883" cy="494718"/>
        </a:xfrm>
        <a:prstGeom prst="ellipse">
          <a:avLst/>
        </a:prstGeom>
        <a:solidFill>
          <a:srgbClr val="7261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11373</xdr:colOff>
      <xdr:row>2</xdr:row>
      <xdr:rowOff>29222</xdr:rowOff>
    </xdr:from>
    <xdr:to>
      <xdr:col>14</xdr:col>
      <xdr:colOff>516197</xdr:colOff>
      <xdr:row>4</xdr:row>
      <xdr:rowOff>159403</xdr:rowOff>
    </xdr:to>
    <xdr:sp macro="" textlink="">
      <xdr:nvSpPr>
        <xdr:cNvPr id="19" name="Oval 18">
          <a:extLst>
            <a:ext uri="{FF2B5EF4-FFF2-40B4-BE49-F238E27FC236}">
              <a16:creationId xmlns:a16="http://schemas.microsoft.com/office/drawing/2014/main" id="{F6C59373-1C3E-4D9F-90F7-47837FB7E31A}"/>
            </a:ext>
          </a:extLst>
        </xdr:cNvPr>
        <xdr:cNvSpPr/>
      </xdr:nvSpPr>
      <xdr:spPr>
        <a:xfrm>
          <a:off x="9066003" y="393759"/>
          <a:ext cx="504824" cy="494718"/>
        </a:xfrm>
        <a:prstGeom prst="ellipse">
          <a:avLst/>
        </a:prstGeom>
        <a:solidFill>
          <a:srgbClr val="7261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262224</xdr:colOff>
      <xdr:row>2</xdr:row>
      <xdr:rowOff>17463</xdr:rowOff>
    </xdr:from>
    <xdr:to>
      <xdr:col>17</xdr:col>
      <xdr:colOff>119348</xdr:colOff>
      <xdr:row>4</xdr:row>
      <xdr:rowOff>147644</xdr:rowOff>
    </xdr:to>
    <xdr:sp macro="" textlink="">
      <xdr:nvSpPr>
        <xdr:cNvPr id="20" name="Oval 19">
          <a:extLst>
            <a:ext uri="{FF2B5EF4-FFF2-40B4-BE49-F238E27FC236}">
              <a16:creationId xmlns:a16="http://schemas.microsoft.com/office/drawing/2014/main" id="{4E75DD6B-C2BE-4C70-96D2-820ABDAC7A15}"/>
            </a:ext>
          </a:extLst>
        </xdr:cNvPr>
        <xdr:cNvSpPr/>
      </xdr:nvSpPr>
      <xdr:spPr>
        <a:xfrm>
          <a:off x="10610372" y="382000"/>
          <a:ext cx="503883" cy="494718"/>
        </a:xfrm>
        <a:prstGeom prst="ellipse">
          <a:avLst/>
        </a:prstGeom>
        <a:solidFill>
          <a:srgbClr val="7261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513073</xdr:colOff>
      <xdr:row>2</xdr:row>
      <xdr:rowOff>17463</xdr:rowOff>
    </xdr:from>
    <xdr:to>
      <xdr:col>19</xdr:col>
      <xdr:colOff>370197</xdr:colOff>
      <xdr:row>4</xdr:row>
      <xdr:rowOff>147644</xdr:rowOff>
    </xdr:to>
    <xdr:sp macro="" textlink="">
      <xdr:nvSpPr>
        <xdr:cNvPr id="21" name="Oval 20">
          <a:extLst>
            <a:ext uri="{FF2B5EF4-FFF2-40B4-BE49-F238E27FC236}">
              <a16:creationId xmlns:a16="http://schemas.microsoft.com/office/drawing/2014/main" id="{A8C0624E-19C3-4CCF-BB72-DFC86FE8CC67}"/>
            </a:ext>
          </a:extLst>
        </xdr:cNvPr>
        <xdr:cNvSpPr/>
      </xdr:nvSpPr>
      <xdr:spPr>
        <a:xfrm>
          <a:off x="12154740" y="382000"/>
          <a:ext cx="503883" cy="494718"/>
        </a:xfrm>
        <a:prstGeom prst="ellipse">
          <a:avLst/>
        </a:prstGeom>
        <a:solidFill>
          <a:srgbClr val="7261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560326</xdr:colOff>
      <xdr:row>8</xdr:row>
      <xdr:rowOff>41453</xdr:rowOff>
    </xdr:from>
    <xdr:to>
      <xdr:col>10</xdr:col>
      <xdr:colOff>526990</xdr:colOff>
      <xdr:row>11</xdr:row>
      <xdr:rowOff>112890</xdr:rowOff>
    </xdr:to>
    <xdr:sp macro="" textlink="">
      <xdr:nvSpPr>
        <xdr:cNvPr id="22" name="Oval 21">
          <a:extLst>
            <a:ext uri="{FF2B5EF4-FFF2-40B4-BE49-F238E27FC236}">
              <a16:creationId xmlns:a16="http://schemas.microsoft.com/office/drawing/2014/main" id="{1FB6594D-E3F2-445E-A68A-C370B4C4A187}"/>
            </a:ext>
          </a:extLst>
        </xdr:cNvPr>
        <xdr:cNvSpPr/>
      </xdr:nvSpPr>
      <xdr:spPr>
        <a:xfrm>
          <a:off x="6381159" y="1499601"/>
          <a:ext cx="613424" cy="618243"/>
        </a:xfrm>
        <a:prstGeom prst="ellipse">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546337</xdr:colOff>
      <xdr:row>2</xdr:row>
      <xdr:rowOff>47331</xdr:rowOff>
    </xdr:from>
    <xdr:to>
      <xdr:col>19</xdr:col>
      <xdr:colOff>360598</xdr:colOff>
      <xdr:row>4</xdr:row>
      <xdr:rowOff>147342</xdr:rowOff>
    </xdr:to>
    <xdr:pic>
      <xdr:nvPicPr>
        <xdr:cNvPr id="33" name="Picture 32">
          <a:extLst>
            <a:ext uri="{FF2B5EF4-FFF2-40B4-BE49-F238E27FC236}">
              <a16:creationId xmlns:a16="http://schemas.microsoft.com/office/drawing/2014/main" id="{3CF3D370-56CC-80DE-99D2-8F8B4B893654}"/>
            </a:ext>
          </a:extLst>
        </xdr:cNvPr>
        <xdr:cNvPicPr>
          <a:picLocks noChangeAspect="1"/>
        </xdr:cNvPicPr>
      </xdr:nvPicPr>
      <xdr:blipFill>
        <a:blip xmlns:r="http://schemas.openxmlformats.org/officeDocument/2006/relationships" r:embed="rId1"/>
        <a:stretch>
          <a:fillRect/>
        </a:stretch>
      </xdr:blipFill>
      <xdr:spPr>
        <a:xfrm>
          <a:off x="12188004" y="411868"/>
          <a:ext cx="461020" cy="464548"/>
        </a:xfrm>
        <a:prstGeom prst="rect">
          <a:avLst/>
        </a:prstGeom>
      </xdr:spPr>
    </xdr:pic>
    <xdr:clientData/>
  </xdr:twoCellAnchor>
  <xdr:twoCellAnchor editAs="oneCell">
    <xdr:from>
      <xdr:col>13</xdr:col>
      <xdr:colOff>376237</xdr:colOff>
      <xdr:row>1</xdr:row>
      <xdr:rowOff>157163</xdr:rowOff>
    </xdr:from>
    <xdr:to>
      <xdr:col>17</xdr:col>
      <xdr:colOff>238125</xdr:colOff>
      <xdr:row>15</xdr:row>
      <xdr:rowOff>76201</xdr:rowOff>
    </xdr:to>
    <xdr:sp macro="" textlink="">
      <xdr:nvSpPr>
        <xdr:cNvPr id="2052" name="AutoShape 4" descr="Hand Click Icon - Red Button Web Png, Transparent Png - vhv">
          <a:extLst>
            <a:ext uri="{FF2B5EF4-FFF2-40B4-BE49-F238E27FC236}">
              <a16:creationId xmlns:a16="http://schemas.microsoft.com/office/drawing/2014/main" id="{07C0E623-7936-1FC4-92E2-E26ACAC0CBB5}"/>
            </a:ext>
          </a:extLst>
        </xdr:cNvPr>
        <xdr:cNvSpPr>
          <a:spLocks noChangeAspect="1" noChangeArrowheads="1"/>
        </xdr:cNvSpPr>
      </xdr:nvSpPr>
      <xdr:spPr bwMode="auto">
        <a:xfrm>
          <a:off x="8796337" y="338138"/>
          <a:ext cx="2452688" cy="245268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328378</xdr:colOff>
      <xdr:row>2</xdr:row>
      <xdr:rowOff>78432</xdr:rowOff>
    </xdr:from>
    <xdr:to>
      <xdr:col>17</xdr:col>
      <xdr:colOff>37865</xdr:colOff>
      <xdr:row>4</xdr:row>
      <xdr:rowOff>73669</xdr:rowOff>
    </xdr:to>
    <xdr:pic>
      <xdr:nvPicPr>
        <xdr:cNvPr id="35" name="Picture 34">
          <a:extLst>
            <a:ext uri="{FF2B5EF4-FFF2-40B4-BE49-F238E27FC236}">
              <a16:creationId xmlns:a16="http://schemas.microsoft.com/office/drawing/2014/main" id="{DF34B089-173E-96FB-E2D2-BAFF5FC5F433}"/>
            </a:ext>
          </a:extLst>
        </xdr:cNvPr>
        <xdr:cNvPicPr>
          <a:picLocks noChangeAspect="1"/>
        </xdr:cNvPicPr>
      </xdr:nvPicPr>
      <xdr:blipFill>
        <a:blip xmlns:r="http://schemas.openxmlformats.org/officeDocument/2006/relationships" r:embed="rId2"/>
        <a:stretch>
          <a:fillRect/>
        </a:stretch>
      </xdr:blipFill>
      <xdr:spPr>
        <a:xfrm>
          <a:off x="10676526" y="442969"/>
          <a:ext cx="356246" cy="359774"/>
        </a:xfrm>
        <a:prstGeom prst="rect">
          <a:avLst/>
        </a:prstGeom>
      </xdr:spPr>
    </xdr:pic>
    <xdr:clientData/>
  </xdr:twoCellAnchor>
  <xdr:twoCellAnchor editAs="oneCell">
    <xdr:from>
      <xdr:col>14</xdr:col>
      <xdr:colOff>79612</xdr:colOff>
      <xdr:row>2</xdr:row>
      <xdr:rowOff>85430</xdr:rowOff>
    </xdr:from>
    <xdr:to>
      <xdr:col>14</xdr:col>
      <xdr:colOff>451086</xdr:colOff>
      <xdr:row>4</xdr:row>
      <xdr:rowOff>94954</xdr:rowOff>
    </xdr:to>
    <xdr:pic>
      <xdr:nvPicPr>
        <xdr:cNvPr id="36" name="Picture 35">
          <a:extLst>
            <a:ext uri="{FF2B5EF4-FFF2-40B4-BE49-F238E27FC236}">
              <a16:creationId xmlns:a16="http://schemas.microsoft.com/office/drawing/2014/main" id="{2EA88342-1C65-127A-CD95-8A9A47F238D9}"/>
            </a:ext>
          </a:extLst>
        </xdr:cNvPr>
        <xdr:cNvPicPr>
          <a:picLocks noChangeAspect="1"/>
        </xdr:cNvPicPr>
      </xdr:nvPicPr>
      <xdr:blipFill>
        <a:blip xmlns:r="http://schemas.openxmlformats.org/officeDocument/2006/relationships" r:embed="rId3"/>
        <a:stretch>
          <a:fillRect/>
        </a:stretch>
      </xdr:blipFill>
      <xdr:spPr>
        <a:xfrm>
          <a:off x="9134242" y="449967"/>
          <a:ext cx="371474" cy="374061"/>
        </a:xfrm>
        <a:prstGeom prst="rect">
          <a:avLst/>
        </a:prstGeom>
      </xdr:spPr>
    </xdr:pic>
    <xdr:clientData/>
  </xdr:twoCellAnchor>
  <xdr:twoCellAnchor editAs="oneCell">
    <xdr:from>
      <xdr:col>3</xdr:col>
      <xdr:colOff>0</xdr:colOff>
      <xdr:row>19</xdr:row>
      <xdr:rowOff>0</xdr:rowOff>
    </xdr:from>
    <xdr:to>
      <xdr:col>3</xdr:col>
      <xdr:colOff>304800</xdr:colOff>
      <xdr:row>20</xdr:row>
      <xdr:rowOff>123825</xdr:rowOff>
    </xdr:to>
    <xdr:sp macro="" textlink="">
      <xdr:nvSpPr>
        <xdr:cNvPr id="2054" name="AutoShape 6" descr="Image of ">
          <a:extLst>
            <a:ext uri="{FF2B5EF4-FFF2-40B4-BE49-F238E27FC236}">
              <a16:creationId xmlns:a16="http://schemas.microsoft.com/office/drawing/2014/main" id="{BB5F520A-6CC0-A488-27F9-2F3761E666B1}"/>
            </a:ext>
          </a:extLst>
        </xdr:cNvPr>
        <xdr:cNvSpPr>
          <a:spLocks noChangeAspect="1" noChangeArrowheads="1"/>
        </xdr:cNvSpPr>
      </xdr:nvSpPr>
      <xdr:spPr bwMode="auto">
        <a:xfrm>
          <a:off x="1943100" y="343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597781</xdr:colOff>
      <xdr:row>8</xdr:row>
      <xdr:rowOff>80669</xdr:rowOff>
    </xdr:from>
    <xdr:to>
      <xdr:col>10</xdr:col>
      <xdr:colOff>460611</xdr:colOff>
      <xdr:row>11</xdr:row>
      <xdr:rowOff>47333</xdr:rowOff>
    </xdr:to>
    <xdr:pic>
      <xdr:nvPicPr>
        <xdr:cNvPr id="47" name="Picture 46">
          <a:extLst>
            <a:ext uri="{FF2B5EF4-FFF2-40B4-BE49-F238E27FC236}">
              <a16:creationId xmlns:a16="http://schemas.microsoft.com/office/drawing/2014/main" id="{BA15D33F-1060-EF4A-0B26-26BB79E17F68}"/>
            </a:ext>
          </a:extLst>
        </xdr:cNvPr>
        <xdr:cNvPicPr>
          <a:picLocks noChangeAspect="1"/>
        </xdr:cNvPicPr>
      </xdr:nvPicPr>
      <xdr:blipFill>
        <a:blip xmlns:r="http://schemas.openxmlformats.org/officeDocument/2006/relationships" r:embed="rId4"/>
        <a:stretch>
          <a:fillRect/>
        </a:stretch>
      </xdr:blipFill>
      <xdr:spPr>
        <a:xfrm flipH="1">
          <a:off x="6418614" y="1538817"/>
          <a:ext cx="509590" cy="513470"/>
        </a:xfrm>
        <a:prstGeom prst="ellipse">
          <a:avLst/>
        </a:prstGeom>
        <a:ln w="63500" cap="rnd">
          <a:noFill/>
        </a:ln>
        <a:effectLst>
          <a:outerShdw blurRad="381000" dist="292100" dir="5400000" sx="-80000" sy="-18000" rotWithShape="0">
            <a:srgbClr val="000000">
              <a:alpha val="22000"/>
            </a:srgbClr>
          </a:outerShdw>
        </a:effectLst>
      </xdr:spPr>
    </xdr:pic>
    <xdr:clientData/>
  </xdr:twoCellAnchor>
  <xdr:twoCellAnchor>
    <xdr:from>
      <xdr:col>8</xdr:col>
      <xdr:colOff>546337</xdr:colOff>
      <xdr:row>4</xdr:row>
      <xdr:rowOff>80669</xdr:rowOff>
    </xdr:from>
    <xdr:to>
      <xdr:col>10</xdr:col>
      <xdr:colOff>289162</xdr:colOff>
      <xdr:row>6</xdr:row>
      <xdr:rowOff>3175</xdr:rowOff>
    </xdr:to>
    <xdr:sp macro="" textlink="">
      <xdr:nvSpPr>
        <xdr:cNvPr id="49" name="TextBox 48">
          <a:extLst>
            <a:ext uri="{FF2B5EF4-FFF2-40B4-BE49-F238E27FC236}">
              <a16:creationId xmlns:a16="http://schemas.microsoft.com/office/drawing/2014/main" id="{F0615716-7342-5ED4-F201-6ED77DB1B17F}"/>
            </a:ext>
          </a:extLst>
        </xdr:cNvPr>
        <xdr:cNvSpPr txBox="1"/>
      </xdr:nvSpPr>
      <xdr:spPr>
        <a:xfrm>
          <a:off x="5720411" y="809743"/>
          <a:ext cx="1036344" cy="287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rgbClr val="FFF7E1"/>
              </a:solidFill>
            </a:rPr>
            <a:t>Total Visitors</a:t>
          </a:r>
        </a:p>
      </xdr:txBody>
    </xdr:sp>
    <xdr:clientData/>
  </xdr:twoCellAnchor>
  <xdr:twoCellAnchor>
    <xdr:from>
      <xdr:col>18</xdr:col>
      <xdr:colOff>213034</xdr:colOff>
      <xdr:row>7</xdr:row>
      <xdr:rowOff>167264</xdr:rowOff>
    </xdr:from>
    <xdr:to>
      <xdr:col>20</xdr:col>
      <xdr:colOff>89136</xdr:colOff>
      <xdr:row>9</xdr:row>
      <xdr:rowOff>80564</xdr:rowOff>
    </xdr:to>
    <xdr:sp macro="" textlink="">
      <xdr:nvSpPr>
        <xdr:cNvPr id="55" name="TextBox 54">
          <a:extLst>
            <a:ext uri="{FF2B5EF4-FFF2-40B4-BE49-F238E27FC236}">
              <a16:creationId xmlns:a16="http://schemas.microsoft.com/office/drawing/2014/main" id="{340A349D-BF8E-2E64-FB18-0C214E8E1D43}"/>
            </a:ext>
          </a:extLst>
        </xdr:cNvPr>
        <xdr:cNvSpPr txBox="1"/>
      </xdr:nvSpPr>
      <xdr:spPr>
        <a:xfrm>
          <a:off x="11854701" y="1443144"/>
          <a:ext cx="1169620" cy="277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baseline="0">
              <a:solidFill>
                <a:srgbClr val="594B45"/>
              </a:solidFill>
            </a:rPr>
            <a:t>Hosted Events</a:t>
          </a:r>
          <a:endParaRPr lang="en-US" sz="1100" b="1">
            <a:solidFill>
              <a:srgbClr val="594B45"/>
            </a:solidFill>
          </a:endParaRPr>
        </a:p>
      </xdr:txBody>
    </xdr:sp>
    <xdr:clientData/>
  </xdr:twoCellAnchor>
  <xdr:twoCellAnchor>
    <xdr:from>
      <xdr:col>13</xdr:col>
      <xdr:colOff>303448</xdr:colOff>
      <xdr:row>7</xdr:row>
      <xdr:rowOff>172129</xdr:rowOff>
    </xdr:from>
    <xdr:to>
      <xdr:col>15</xdr:col>
      <xdr:colOff>312974</xdr:colOff>
      <xdr:row>9</xdr:row>
      <xdr:rowOff>66276</xdr:rowOff>
    </xdr:to>
    <xdr:sp macro="" textlink="">
      <xdr:nvSpPr>
        <xdr:cNvPr id="58" name="TextBox 57">
          <a:extLst>
            <a:ext uri="{FF2B5EF4-FFF2-40B4-BE49-F238E27FC236}">
              <a16:creationId xmlns:a16="http://schemas.microsoft.com/office/drawing/2014/main" id="{0FF80AD1-5ADE-2AC5-78D6-0BD3BD5275FC}"/>
            </a:ext>
          </a:extLst>
        </xdr:cNvPr>
        <xdr:cNvSpPr txBox="1"/>
      </xdr:nvSpPr>
      <xdr:spPr>
        <a:xfrm>
          <a:off x="8711318" y="1448009"/>
          <a:ext cx="1303045" cy="258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594B45"/>
              </a:solidFill>
            </a:rPr>
            <a:t>Electronic</a:t>
          </a:r>
          <a:r>
            <a:rPr lang="en-US" sz="1100" b="1" baseline="0">
              <a:solidFill>
                <a:srgbClr val="594B45"/>
              </a:solidFill>
            </a:rPr>
            <a:t> </a:t>
          </a:r>
          <a:r>
            <a:rPr lang="en-US" sz="1100" b="1">
              <a:solidFill>
                <a:srgbClr val="594B45"/>
              </a:solidFill>
            </a:rPr>
            <a:t>services</a:t>
          </a:r>
          <a:r>
            <a:rPr lang="en-US" sz="1100" baseline="0">
              <a:solidFill>
                <a:srgbClr val="594B45"/>
              </a:solidFill>
            </a:rPr>
            <a:t> </a:t>
          </a:r>
          <a:endParaRPr lang="en-US" sz="1100">
            <a:solidFill>
              <a:srgbClr val="594B45"/>
            </a:solidFill>
          </a:endParaRPr>
        </a:p>
      </xdr:txBody>
    </xdr:sp>
    <xdr:clientData/>
  </xdr:twoCellAnchor>
  <xdr:twoCellAnchor>
    <xdr:from>
      <xdr:col>15</xdr:col>
      <xdr:colOff>517761</xdr:colOff>
      <xdr:row>7</xdr:row>
      <xdr:rowOff>172027</xdr:rowOff>
    </xdr:from>
    <xdr:to>
      <xdr:col>17</xdr:col>
      <xdr:colOff>560623</xdr:colOff>
      <xdr:row>9</xdr:row>
      <xdr:rowOff>147239</xdr:rowOff>
    </xdr:to>
    <xdr:sp macro="" textlink="">
      <xdr:nvSpPr>
        <xdr:cNvPr id="60" name="TextBox 59">
          <a:extLst>
            <a:ext uri="{FF2B5EF4-FFF2-40B4-BE49-F238E27FC236}">
              <a16:creationId xmlns:a16="http://schemas.microsoft.com/office/drawing/2014/main" id="{E157BB9E-810B-D57D-2A40-65C0DD79A667}"/>
            </a:ext>
          </a:extLst>
        </xdr:cNvPr>
        <xdr:cNvSpPr txBox="1"/>
      </xdr:nvSpPr>
      <xdr:spPr>
        <a:xfrm>
          <a:off x="10219150" y="1447907"/>
          <a:ext cx="1336380" cy="339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594B45"/>
              </a:solidFill>
            </a:rPr>
            <a:t>E-services Requests</a:t>
          </a:r>
          <a:r>
            <a:rPr lang="en-US" sz="1100" b="1" baseline="0">
              <a:solidFill>
                <a:srgbClr val="594B45"/>
              </a:solidFill>
            </a:rPr>
            <a:t> </a:t>
          </a:r>
          <a:endParaRPr lang="en-US" sz="1100" b="1">
            <a:solidFill>
              <a:srgbClr val="594B45"/>
            </a:solidFill>
          </a:endParaRPr>
        </a:p>
      </xdr:txBody>
    </xdr:sp>
    <xdr:clientData/>
  </xdr:twoCellAnchor>
  <xdr:twoCellAnchor>
    <xdr:from>
      <xdr:col>8</xdr:col>
      <xdr:colOff>312972</xdr:colOff>
      <xdr:row>5</xdr:row>
      <xdr:rowOff>99718</xdr:rowOff>
    </xdr:from>
    <xdr:to>
      <xdr:col>10</xdr:col>
      <xdr:colOff>455848</xdr:colOff>
      <xdr:row>8</xdr:row>
      <xdr:rowOff>156869</xdr:rowOff>
    </xdr:to>
    <xdr:sp macro="" textlink="pivottables!B7">
      <xdr:nvSpPr>
        <xdr:cNvPr id="2057" name="TextBox 2056">
          <a:extLst>
            <a:ext uri="{FF2B5EF4-FFF2-40B4-BE49-F238E27FC236}">
              <a16:creationId xmlns:a16="http://schemas.microsoft.com/office/drawing/2014/main" id="{00BA6796-7437-49DE-93BE-6CB7622AC809}"/>
            </a:ext>
          </a:extLst>
        </xdr:cNvPr>
        <xdr:cNvSpPr txBox="1"/>
      </xdr:nvSpPr>
      <xdr:spPr>
        <a:xfrm>
          <a:off x="5487046" y="1011061"/>
          <a:ext cx="1436395" cy="603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2EB5451-331D-49F2-8DDC-F95B17509A62}" type="TxLink">
            <a:rPr lang="en-US" sz="2400" b="1" i="0" u="none" strike="noStrike">
              <a:solidFill>
                <a:schemeClr val="bg1"/>
              </a:solidFill>
              <a:latin typeface="Arial" panose="020B0604020202020204" pitchFamily="34" charset="0"/>
              <a:ea typeface="Calibri"/>
              <a:cs typeface="Arial" panose="020B0604020202020204" pitchFamily="34" charset="0"/>
            </a:rPr>
            <a:pPr algn="ctr"/>
            <a:t> 151,421 </a:t>
          </a:fld>
          <a:endParaRPr lang="en-US" sz="2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351073</xdr:colOff>
      <xdr:row>5</xdr:row>
      <xdr:rowOff>147342</xdr:rowOff>
    </xdr:from>
    <xdr:to>
      <xdr:col>15</xdr:col>
      <xdr:colOff>164451</xdr:colOff>
      <xdr:row>8</xdr:row>
      <xdr:rowOff>66675</xdr:rowOff>
    </xdr:to>
    <xdr:sp macro="" textlink="pivottables!D7">
      <xdr:nvSpPr>
        <xdr:cNvPr id="2053" name="TextBox 2052">
          <a:extLst>
            <a:ext uri="{FF2B5EF4-FFF2-40B4-BE49-F238E27FC236}">
              <a16:creationId xmlns:a16="http://schemas.microsoft.com/office/drawing/2014/main" id="{60CCA150-07CF-4875-B2F3-717AAC869227}"/>
            </a:ext>
          </a:extLst>
        </xdr:cNvPr>
        <xdr:cNvSpPr txBox="1"/>
      </xdr:nvSpPr>
      <xdr:spPr>
        <a:xfrm>
          <a:off x="8771173" y="1052217"/>
          <a:ext cx="1108778" cy="462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3227EC2-A296-4B74-A544-B7FB1DD70FFA}" type="TxLink">
            <a:rPr lang="en-US" sz="2400" b="1" i="0" u="none" strike="noStrike">
              <a:solidFill>
                <a:srgbClr val="3F3531"/>
              </a:solidFill>
              <a:latin typeface="Arial" panose="020B0604020202020204" pitchFamily="34" charset="0"/>
              <a:ea typeface="Calibri"/>
              <a:cs typeface="Arial" panose="020B0604020202020204" pitchFamily="34" charset="0"/>
            </a:rPr>
            <a:pPr algn="ctr"/>
            <a:t>17</a:t>
          </a:fld>
          <a:endParaRPr lang="en-US" sz="2400" b="1">
            <a:solidFill>
              <a:srgbClr val="3F3531"/>
            </a:solidFill>
            <a:latin typeface="Arial" panose="020B0604020202020204" pitchFamily="34" charset="0"/>
            <a:cs typeface="Arial" panose="020B0604020202020204" pitchFamily="34" charset="0"/>
          </a:endParaRPr>
        </a:p>
      </xdr:txBody>
    </xdr:sp>
    <xdr:clientData/>
  </xdr:twoCellAnchor>
  <xdr:twoCellAnchor>
    <xdr:from>
      <xdr:col>18</xdr:col>
      <xdr:colOff>508236</xdr:colOff>
      <xdr:row>5</xdr:row>
      <xdr:rowOff>118767</xdr:rowOff>
    </xdr:from>
    <xdr:to>
      <xdr:col>19</xdr:col>
      <xdr:colOff>461963</xdr:colOff>
      <xdr:row>7</xdr:row>
      <xdr:rowOff>114004</xdr:rowOff>
    </xdr:to>
    <xdr:sp macro="" textlink="pivottables!C7">
      <xdr:nvSpPr>
        <xdr:cNvPr id="4" name="TextBox 3">
          <a:extLst>
            <a:ext uri="{FF2B5EF4-FFF2-40B4-BE49-F238E27FC236}">
              <a16:creationId xmlns:a16="http://schemas.microsoft.com/office/drawing/2014/main" id="{93F4C5B4-DDE4-6745-53EB-2C44C2211F8C}"/>
            </a:ext>
          </a:extLst>
        </xdr:cNvPr>
        <xdr:cNvSpPr txBox="1"/>
      </xdr:nvSpPr>
      <xdr:spPr>
        <a:xfrm>
          <a:off x="12166836" y="1023642"/>
          <a:ext cx="601427"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104909-2D40-422F-A4F9-ABAD2FCE3CB2}" type="TxLink">
            <a:rPr lang="en-US" sz="2400" b="1" i="0" u="none" strike="noStrike" kern="1200">
              <a:solidFill>
                <a:srgbClr val="3F3531"/>
              </a:solidFill>
              <a:latin typeface="Arial" panose="020B0604020202020204" pitchFamily="34" charset="0"/>
              <a:ea typeface="Calibri"/>
              <a:cs typeface="Arial" panose="020B0604020202020204" pitchFamily="34" charset="0"/>
            </a:rPr>
            <a:pPr/>
            <a:t>23</a:t>
          </a:fld>
          <a:endParaRPr lang="en-US" sz="2400" b="1" kern="1200">
            <a:solidFill>
              <a:srgbClr val="3F3531"/>
            </a:solidFill>
            <a:latin typeface="Arial" panose="020B0604020202020204" pitchFamily="34" charset="0"/>
            <a:cs typeface="Arial" panose="020B0604020202020204" pitchFamily="34" charset="0"/>
          </a:endParaRPr>
        </a:p>
      </xdr:txBody>
    </xdr:sp>
    <xdr:clientData/>
  </xdr:twoCellAnchor>
  <xdr:twoCellAnchor>
    <xdr:from>
      <xdr:col>15</xdr:col>
      <xdr:colOff>508235</xdr:colOff>
      <xdr:row>5</xdr:row>
      <xdr:rowOff>133054</xdr:rowOff>
    </xdr:from>
    <xdr:to>
      <xdr:col>17</xdr:col>
      <xdr:colOff>503473</xdr:colOff>
      <xdr:row>7</xdr:row>
      <xdr:rowOff>156868</xdr:rowOff>
    </xdr:to>
    <xdr:sp macro="" textlink="pivottables!E7">
      <xdr:nvSpPr>
        <xdr:cNvPr id="5" name="TextBox 4">
          <a:extLst>
            <a:ext uri="{FF2B5EF4-FFF2-40B4-BE49-F238E27FC236}">
              <a16:creationId xmlns:a16="http://schemas.microsoft.com/office/drawing/2014/main" id="{1A44C744-E5A7-4F61-A313-E057684E3E5D}"/>
            </a:ext>
          </a:extLst>
        </xdr:cNvPr>
        <xdr:cNvSpPr txBox="1"/>
      </xdr:nvSpPr>
      <xdr:spPr>
        <a:xfrm>
          <a:off x="10209624" y="1044397"/>
          <a:ext cx="1288756" cy="388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1CDC6D6-E5D4-44AC-83AC-8CF56ACF8AD4}" type="TxLink">
            <a:rPr lang="en-US" sz="2400" b="1" i="0" u="none" strike="noStrike">
              <a:solidFill>
                <a:srgbClr val="3F3531"/>
              </a:solidFill>
              <a:latin typeface="Arial" panose="020B0604020202020204" pitchFamily="34" charset="0"/>
              <a:ea typeface="Calibri"/>
              <a:cs typeface="Arial" panose="020B0604020202020204" pitchFamily="34" charset="0"/>
            </a:rPr>
            <a:pPr algn="ctr"/>
            <a:t> 27,206 </a:t>
          </a:fld>
          <a:endParaRPr lang="en-US" sz="2400" b="1">
            <a:solidFill>
              <a:srgbClr val="3F3531"/>
            </a:solidFill>
            <a:latin typeface="Arial" panose="020B0604020202020204" pitchFamily="34" charset="0"/>
            <a:cs typeface="Arial" panose="020B0604020202020204" pitchFamily="34" charset="0"/>
          </a:endParaRPr>
        </a:p>
      </xdr:txBody>
    </xdr:sp>
    <xdr:clientData/>
  </xdr:twoCellAnchor>
  <xdr:twoCellAnchor>
    <xdr:from>
      <xdr:col>13</xdr:col>
      <xdr:colOff>1</xdr:colOff>
      <xdr:row>16</xdr:row>
      <xdr:rowOff>90487</xdr:rowOff>
    </xdr:from>
    <xdr:to>
      <xdr:col>20</xdr:col>
      <xdr:colOff>447675</xdr:colOff>
      <xdr:row>25</xdr:row>
      <xdr:rowOff>85724</xdr:rowOff>
    </xdr:to>
    <xdr:graphicFrame macro="">
      <xdr:nvGraphicFramePr>
        <xdr:cNvPr id="14" name="Chart 13">
          <a:extLst>
            <a:ext uri="{FF2B5EF4-FFF2-40B4-BE49-F238E27FC236}">
              <a16:creationId xmlns:a16="http://schemas.microsoft.com/office/drawing/2014/main" id="{363EAE05-5E93-4D68-9367-A56024432A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600571</xdr:colOff>
      <xdr:row>14</xdr:row>
      <xdr:rowOff>77813</xdr:rowOff>
    </xdr:from>
    <xdr:to>
      <xdr:col>17</xdr:col>
      <xdr:colOff>495300</xdr:colOff>
      <xdr:row>17</xdr:row>
      <xdr:rowOff>34951</xdr:rowOff>
    </xdr:to>
    <mc:AlternateContent xmlns:mc="http://schemas.openxmlformats.org/markup-compatibility/2006" xmlns:a14="http://schemas.microsoft.com/office/drawing/2010/main">
      <mc:Choice Requires="a14">
        <xdr:graphicFrame macro="">
          <xdr:nvGraphicFramePr>
            <xdr:cNvPr id="34" name="day">
              <a:extLst>
                <a:ext uri="{FF2B5EF4-FFF2-40B4-BE49-F238E27FC236}">
                  <a16:creationId xmlns:a16="http://schemas.microsoft.com/office/drawing/2014/main" id="{1AB5D212-FBAC-6276-3971-7317E9E8A963}"/>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8372971" y="2611463"/>
              <a:ext cx="3296837" cy="5000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583724</xdr:colOff>
      <xdr:row>14</xdr:row>
      <xdr:rowOff>86522</xdr:rowOff>
    </xdr:from>
    <xdr:to>
      <xdr:col>20</xdr:col>
      <xdr:colOff>457200</xdr:colOff>
      <xdr:row>19</xdr:row>
      <xdr:rowOff>9029</xdr:rowOff>
    </xdr:to>
    <xdr:sp macro="" textlink="">
      <xdr:nvSpPr>
        <xdr:cNvPr id="39" name="TextBox 38">
          <a:extLst>
            <a:ext uri="{FF2B5EF4-FFF2-40B4-BE49-F238E27FC236}">
              <a16:creationId xmlns:a16="http://schemas.microsoft.com/office/drawing/2014/main" id="{ED5F1676-BFE0-AC53-794A-52F3B1BBA27B}"/>
            </a:ext>
          </a:extLst>
        </xdr:cNvPr>
        <xdr:cNvSpPr txBox="1"/>
      </xdr:nvSpPr>
      <xdr:spPr>
        <a:xfrm>
          <a:off x="11594624" y="2620172"/>
          <a:ext cx="1816576" cy="82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kern="1200"/>
            <a:t>  </a:t>
          </a:r>
          <a:r>
            <a:rPr lang="en-US" sz="1400" b="1" kern="1200">
              <a:solidFill>
                <a:srgbClr val="594B45"/>
              </a:solidFill>
            </a:rPr>
            <a:t>Sunday</a:t>
          </a:r>
          <a:r>
            <a:rPr lang="en-US" sz="1400" kern="1200" baseline="0">
              <a:solidFill>
                <a:srgbClr val="594B45"/>
              </a:solidFill>
            </a:rPr>
            <a:t> </a:t>
          </a:r>
          <a:r>
            <a:rPr lang="en-US" sz="1100" kern="1200" baseline="0">
              <a:solidFill>
                <a:srgbClr val="594B45"/>
              </a:solidFill>
            </a:rPr>
            <a:t>records the highest </a:t>
          </a:r>
          <a:r>
            <a:rPr lang="en-US" sz="1100" b="1" kern="1200" baseline="0">
              <a:solidFill>
                <a:srgbClr val="594B45"/>
              </a:solidFill>
            </a:rPr>
            <a:t>Average vistis</a:t>
          </a:r>
          <a:r>
            <a:rPr lang="en-US" sz="1100" b="0" kern="1200" baseline="0">
              <a:solidFill>
                <a:srgbClr val="594B45"/>
              </a:solidFill>
            </a:rPr>
            <a:t>, </a:t>
          </a:r>
          <a:r>
            <a:rPr lang="en-US" sz="1100" kern="1200" baseline="0">
              <a:solidFill>
                <a:srgbClr val="594B45"/>
              </a:solidFill>
            </a:rPr>
            <a:t>with a noteable increase in </a:t>
          </a:r>
          <a:r>
            <a:rPr lang="en-US" sz="1100" b="1" kern="1200" baseline="0">
              <a:solidFill>
                <a:srgbClr val="594B45"/>
              </a:solidFill>
            </a:rPr>
            <a:t>Q4</a:t>
          </a:r>
          <a:endParaRPr lang="en-US" sz="1100" b="1" kern="1200">
            <a:solidFill>
              <a:srgbClr val="594B45"/>
            </a:solidFill>
          </a:endParaRPr>
        </a:p>
      </xdr:txBody>
    </xdr:sp>
    <xdr:clientData/>
  </xdr:twoCellAnchor>
  <xdr:twoCellAnchor>
    <xdr:from>
      <xdr:col>5</xdr:col>
      <xdr:colOff>581022</xdr:colOff>
      <xdr:row>26</xdr:row>
      <xdr:rowOff>61516</xdr:rowOff>
    </xdr:from>
    <xdr:to>
      <xdr:col>15</xdr:col>
      <xdr:colOff>47624</xdr:colOff>
      <xdr:row>38</xdr:row>
      <xdr:rowOff>132953</xdr:rowOff>
    </xdr:to>
    <xdr:sp macro="" textlink="">
      <xdr:nvSpPr>
        <xdr:cNvPr id="57" name="Rectangle: Rounded Corners 56">
          <a:extLst>
            <a:ext uri="{FF2B5EF4-FFF2-40B4-BE49-F238E27FC236}">
              <a16:creationId xmlns:a16="http://schemas.microsoft.com/office/drawing/2014/main" id="{731D52AD-5043-4453-BF86-5FE0C9130DA5}"/>
            </a:ext>
          </a:extLst>
        </xdr:cNvPr>
        <xdr:cNvSpPr/>
      </xdr:nvSpPr>
      <xdr:spPr>
        <a:xfrm>
          <a:off x="3814818" y="4800497"/>
          <a:ext cx="5934195" cy="2258660"/>
        </a:xfrm>
        <a:prstGeom prst="roundRect">
          <a:avLst>
            <a:gd name="adj" fmla="val 6265"/>
          </a:avLst>
        </a:prstGeom>
        <a:solidFill>
          <a:srgbClr val="EFEDE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5</xdr:col>
      <xdr:colOff>559064</xdr:colOff>
      <xdr:row>26</xdr:row>
      <xdr:rowOff>127399</xdr:rowOff>
    </xdr:from>
    <xdr:to>
      <xdr:col>15</xdr:col>
      <xdr:colOff>70645</xdr:colOff>
      <xdr:row>39</xdr:row>
      <xdr:rowOff>14156</xdr:rowOff>
    </xdr:to>
    <xdr:graphicFrame macro="">
      <xdr:nvGraphicFramePr>
        <xdr:cNvPr id="3" name="Chart 2">
          <a:extLst>
            <a:ext uri="{FF2B5EF4-FFF2-40B4-BE49-F238E27FC236}">
              <a16:creationId xmlns:a16="http://schemas.microsoft.com/office/drawing/2014/main" id="{5EF6D815-ABCF-4B38-AC8C-D6C6BBA8F67E}"/>
            </a:ext>
            <a:ext uri="{147F2762-F138-4A5C-976F-8EAC2B608ADB}">
              <a16:predDERef xmlns:a16="http://schemas.microsoft.com/office/drawing/2014/main" pred="{1A946EBA-159D-43D8-A153-D78E05F9B0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41509</xdr:colOff>
      <xdr:row>5</xdr:row>
      <xdr:rowOff>142578</xdr:rowOff>
    </xdr:from>
    <xdr:to>
      <xdr:col>12</xdr:col>
      <xdr:colOff>502587</xdr:colOff>
      <xdr:row>8</xdr:row>
      <xdr:rowOff>9525</xdr:rowOff>
    </xdr:to>
    <xdr:sp macro="" textlink="pivottables!F7">
      <xdr:nvSpPr>
        <xdr:cNvPr id="59" name="TextBox 58">
          <a:extLst>
            <a:ext uri="{FF2B5EF4-FFF2-40B4-BE49-F238E27FC236}">
              <a16:creationId xmlns:a16="http://schemas.microsoft.com/office/drawing/2014/main" id="{CD9D1E9F-326C-4F56-9D03-37B42EB85501}"/>
            </a:ext>
          </a:extLst>
        </xdr:cNvPr>
        <xdr:cNvSpPr txBox="1"/>
      </xdr:nvSpPr>
      <xdr:spPr>
        <a:xfrm>
          <a:off x="7166209" y="1047453"/>
          <a:ext cx="1108778" cy="409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EECF514-1A81-4294-8F0F-17F335318339}" type="TxLink">
            <a:rPr lang="en-US" sz="2400" b="1" i="0" u="none" strike="noStrike">
              <a:solidFill>
                <a:srgbClr val="3F3531"/>
              </a:solidFill>
              <a:latin typeface="Calibri"/>
              <a:ea typeface="Calibri"/>
              <a:cs typeface="Calibri"/>
            </a:rPr>
            <a:pPr algn="ctr"/>
            <a:t> 96 </a:t>
          </a:fld>
          <a:endParaRPr lang="en-US" sz="2400" b="1">
            <a:solidFill>
              <a:srgbClr val="3F3531"/>
            </a:solidFill>
            <a:latin typeface="Arial" panose="020B0604020202020204" pitchFamily="34" charset="0"/>
            <a:cs typeface="Arial" panose="020B0604020202020204" pitchFamily="34" charset="0"/>
          </a:endParaRPr>
        </a:p>
      </xdr:txBody>
    </xdr:sp>
    <xdr:clientData/>
  </xdr:twoCellAnchor>
  <xdr:twoCellAnchor>
    <xdr:from>
      <xdr:col>11</xdr:col>
      <xdr:colOff>179623</xdr:colOff>
      <xdr:row>7</xdr:row>
      <xdr:rowOff>147341</xdr:rowOff>
    </xdr:from>
    <xdr:to>
      <xdr:col>12</xdr:col>
      <xdr:colOff>527286</xdr:colOff>
      <xdr:row>10</xdr:row>
      <xdr:rowOff>56856</xdr:rowOff>
    </xdr:to>
    <xdr:sp macro="" textlink="">
      <xdr:nvSpPr>
        <xdr:cNvPr id="62" name="TextBox 61">
          <a:extLst>
            <a:ext uri="{FF2B5EF4-FFF2-40B4-BE49-F238E27FC236}">
              <a16:creationId xmlns:a16="http://schemas.microsoft.com/office/drawing/2014/main" id="{9303422C-E3B3-4D70-AFF5-BD794984EF12}"/>
            </a:ext>
          </a:extLst>
        </xdr:cNvPr>
        <xdr:cNvSpPr txBox="1"/>
      </xdr:nvSpPr>
      <xdr:spPr>
        <a:xfrm>
          <a:off x="7293975" y="1423221"/>
          <a:ext cx="994422" cy="456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rgbClr val="594B45"/>
              </a:solidFill>
            </a:rPr>
            <a:t>Weekly Service</a:t>
          </a:r>
          <a:r>
            <a:rPr lang="en-US" sz="1100" b="1" baseline="0">
              <a:solidFill>
                <a:srgbClr val="594B45"/>
              </a:solidFill>
            </a:rPr>
            <a:t> Hours </a:t>
          </a:r>
          <a:endParaRPr lang="en-US" sz="1100">
            <a:solidFill>
              <a:srgbClr val="594B45"/>
            </a:solidFill>
          </a:endParaRPr>
        </a:p>
      </xdr:txBody>
    </xdr:sp>
    <xdr:clientData/>
  </xdr:twoCellAnchor>
  <xdr:twoCellAnchor editAs="oneCell">
    <xdr:from>
      <xdr:col>11</xdr:col>
      <xdr:colOff>479660</xdr:colOff>
      <xdr:row>2</xdr:row>
      <xdr:rowOff>75907</xdr:rowOff>
    </xdr:from>
    <xdr:to>
      <xdr:col>12</xdr:col>
      <xdr:colOff>193910</xdr:colOff>
      <xdr:row>4</xdr:row>
      <xdr:rowOff>75907</xdr:rowOff>
    </xdr:to>
    <xdr:pic>
      <xdr:nvPicPr>
        <xdr:cNvPr id="1028" name="Picture 1027">
          <a:extLst>
            <a:ext uri="{FF2B5EF4-FFF2-40B4-BE49-F238E27FC236}">
              <a16:creationId xmlns:a16="http://schemas.microsoft.com/office/drawing/2014/main" id="{ED80FE4F-D0B3-77B1-3AB8-E5F6EB4415C7}"/>
            </a:ext>
          </a:extLst>
        </xdr:cNvPr>
        <xdr:cNvPicPr>
          <a:picLocks noChangeAspect="1"/>
        </xdr:cNvPicPr>
      </xdr:nvPicPr>
      <xdr:blipFill>
        <a:blip xmlns:r="http://schemas.openxmlformats.org/officeDocument/2006/relationships" r:embed="rId7"/>
        <a:stretch>
          <a:fillRect/>
        </a:stretch>
      </xdr:blipFill>
      <xdr:spPr>
        <a:xfrm>
          <a:off x="7594012" y="440444"/>
          <a:ext cx="361009" cy="364537"/>
        </a:xfrm>
        <a:prstGeom prst="rect">
          <a:avLst/>
        </a:prstGeom>
      </xdr:spPr>
    </xdr:pic>
    <xdr:clientData/>
  </xdr:twoCellAnchor>
  <xdr:twoCellAnchor>
    <xdr:from>
      <xdr:col>0</xdr:col>
      <xdr:colOff>220135</xdr:colOff>
      <xdr:row>26</xdr:row>
      <xdr:rowOff>61516</xdr:rowOff>
    </xdr:from>
    <xdr:to>
      <xdr:col>5</xdr:col>
      <xdr:colOff>453496</xdr:colOff>
      <xdr:row>38</xdr:row>
      <xdr:rowOff>132953</xdr:rowOff>
    </xdr:to>
    <xdr:sp macro="" textlink="">
      <xdr:nvSpPr>
        <xdr:cNvPr id="1036" name="Rectangle: Rounded Corners 1035">
          <a:extLst>
            <a:ext uri="{FF2B5EF4-FFF2-40B4-BE49-F238E27FC236}">
              <a16:creationId xmlns:a16="http://schemas.microsoft.com/office/drawing/2014/main" id="{43C4EDFC-53A1-41BD-AB1B-C26BB2A85659}"/>
            </a:ext>
          </a:extLst>
        </xdr:cNvPr>
        <xdr:cNvSpPr/>
      </xdr:nvSpPr>
      <xdr:spPr>
        <a:xfrm>
          <a:off x="220135" y="4766866"/>
          <a:ext cx="3471861" cy="2243137"/>
        </a:xfrm>
        <a:prstGeom prst="roundRect">
          <a:avLst>
            <a:gd name="adj" fmla="val 6265"/>
          </a:avLst>
        </a:prstGeom>
        <a:solidFill>
          <a:srgbClr val="EFEDE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335025</xdr:colOff>
      <xdr:row>26</xdr:row>
      <xdr:rowOff>148828</xdr:rowOff>
    </xdr:from>
    <xdr:to>
      <xdr:col>5</xdr:col>
      <xdr:colOff>330264</xdr:colOff>
      <xdr:row>38</xdr:row>
      <xdr:rowOff>96638</xdr:rowOff>
    </xdr:to>
    <xdr:graphicFrame macro="">
      <xdr:nvGraphicFramePr>
        <xdr:cNvPr id="13" name="Chart 12">
          <a:extLst>
            <a:ext uri="{FF2B5EF4-FFF2-40B4-BE49-F238E27FC236}">
              <a16:creationId xmlns:a16="http://schemas.microsoft.com/office/drawing/2014/main" id="{087C4FAA-5E7C-406A-ADC2-EAAA203DA3FE}"/>
            </a:ext>
            <a:ext uri="{147F2762-F138-4A5C-976F-8EAC2B608ADB}">
              <a16:predDERef xmlns:a16="http://schemas.microsoft.com/office/drawing/2014/main" pred="{F7E5B249-0732-4EA3-8093-62C51A585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290512</xdr:colOff>
      <xdr:row>14</xdr:row>
      <xdr:rowOff>147638</xdr:rowOff>
    </xdr:from>
    <xdr:to>
      <xdr:col>12</xdr:col>
      <xdr:colOff>347662</xdr:colOff>
      <xdr:row>25</xdr:row>
      <xdr:rowOff>90489</xdr:rowOff>
    </xdr:to>
    <xdr:graphicFrame macro="">
      <xdr:nvGraphicFramePr>
        <xdr:cNvPr id="11" name="Chart 10">
          <a:extLst>
            <a:ext uri="{FF2B5EF4-FFF2-40B4-BE49-F238E27FC236}">
              <a16:creationId xmlns:a16="http://schemas.microsoft.com/office/drawing/2014/main" id="{71E41959-6A7D-413B-8D53-F279ACFC39C1}"/>
            </a:ext>
            <a:ext uri="{147F2762-F138-4A5C-976F-8EAC2B608ADB}">
              <a16:predDERef xmlns:a16="http://schemas.microsoft.com/office/drawing/2014/main" pred="{0DDCEC60-73F0-4104-B1A2-1CF7535D0C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9</xdr:col>
      <xdr:colOff>392231</xdr:colOff>
      <xdr:row>14</xdr:row>
      <xdr:rowOff>48231</xdr:rowOff>
    </xdr:from>
    <xdr:to>
      <xdr:col>11</xdr:col>
      <xdr:colOff>304856</xdr:colOff>
      <xdr:row>15</xdr:row>
      <xdr:rowOff>166688</xdr:rowOff>
    </xdr:to>
    <mc:AlternateContent xmlns:mc="http://schemas.openxmlformats.org/markup-compatibility/2006">
      <mc:Choice xmlns:a14="http://schemas.microsoft.com/office/drawing/2010/main" Requires="a14">
        <xdr:graphicFrame macro="">
          <xdr:nvGraphicFramePr>
            <xdr:cNvPr id="24" name="audince ">
              <a:extLst>
                <a:ext uri="{FF2B5EF4-FFF2-40B4-BE49-F238E27FC236}">
                  <a16:creationId xmlns:a16="http://schemas.microsoft.com/office/drawing/2014/main" id="{B0B83F5B-FAFB-6D19-5EB9-CB75B22E1CF4}"/>
                </a:ext>
              </a:extLst>
            </xdr:cNvPr>
            <xdr:cNvGraphicFramePr/>
          </xdr:nvGraphicFramePr>
          <xdr:xfrm>
            <a:off x="0" y="0"/>
            <a:ext cx="0" cy="0"/>
          </xdr:xfrm>
          <a:graphic>
            <a:graphicData uri="http://schemas.microsoft.com/office/drawing/2010/slicer">
              <sle:slicer xmlns:sle="http://schemas.microsoft.com/office/drawing/2010/slicer" name="audince "/>
            </a:graphicData>
          </a:graphic>
        </xdr:graphicFrame>
      </mc:Choice>
      <mc:Fallback>
        <xdr:sp macro="" textlink="">
          <xdr:nvSpPr>
            <xdr:cNvPr id="0" name=""/>
            <xdr:cNvSpPr>
              <a:spLocks noTextEdit="1"/>
            </xdr:cNvSpPr>
          </xdr:nvSpPr>
          <xdr:spPr>
            <a:xfrm>
              <a:off x="6221531" y="2581881"/>
              <a:ext cx="1208025" cy="2994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220135</xdr:colOff>
      <xdr:row>14</xdr:row>
      <xdr:rowOff>9231</xdr:rowOff>
    </xdr:from>
    <xdr:to>
      <xdr:col>8</xdr:col>
      <xdr:colOff>158222</xdr:colOff>
      <xdr:row>25</xdr:row>
      <xdr:rowOff>58562</xdr:rowOff>
    </xdr:to>
    <xdr:sp macro="" textlink="">
      <xdr:nvSpPr>
        <xdr:cNvPr id="1046" name="Rectangle: Rounded Corners 1045">
          <a:extLst>
            <a:ext uri="{FF2B5EF4-FFF2-40B4-BE49-F238E27FC236}">
              <a16:creationId xmlns:a16="http://schemas.microsoft.com/office/drawing/2014/main" id="{ED130860-EED2-465B-85DC-F0CD66C6FCA5}"/>
            </a:ext>
          </a:extLst>
        </xdr:cNvPr>
        <xdr:cNvSpPr/>
      </xdr:nvSpPr>
      <xdr:spPr>
        <a:xfrm>
          <a:off x="220135" y="2542881"/>
          <a:ext cx="5119687" cy="2040056"/>
        </a:xfrm>
        <a:prstGeom prst="roundRect">
          <a:avLst>
            <a:gd name="adj" fmla="val 6265"/>
          </a:avLst>
        </a:prstGeom>
        <a:solidFill>
          <a:srgbClr val="EFEDE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editAs="oneCell">
    <xdr:from>
      <xdr:col>6</xdr:col>
      <xdr:colOff>329404</xdr:colOff>
      <xdr:row>14</xdr:row>
      <xdr:rowOff>113110</xdr:rowOff>
    </xdr:from>
    <xdr:to>
      <xdr:col>8</xdr:col>
      <xdr:colOff>35719</xdr:colOff>
      <xdr:row>24</xdr:row>
      <xdr:rowOff>138115</xdr:rowOff>
    </xdr:to>
    <mc:AlternateContent xmlns:mc="http://schemas.openxmlformats.org/markup-compatibility/2006" xmlns:a14="http://schemas.microsoft.com/office/drawing/2010/main">
      <mc:Choice Requires="a14">
        <xdr:graphicFrame macro="">
          <xdr:nvGraphicFramePr>
            <xdr:cNvPr id="52" name="month">
              <a:extLst>
                <a:ext uri="{FF2B5EF4-FFF2-40B4-BE49-F238E27FC236}">
                  <a16:creationId xmlns:a16="http://schemas.microsoft.com/office/drawing/2014/main" id="{E0F391FF-2FE9-778E-AE46-7FA493F090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215604" y="2646760"/>
              <a:ext cx="1001715" cy="1834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319087</xdr:colOff>
      <xdr:row>14</xdr:row>
      <xdr:rowOff>152400</xdr:rowOff>
    </xdr:from>
    <xdr:to>
      <xdr:col>6</xdr:col>
      <xdr:colOff>247650</xdr:colOff>
      <xdr:row>24</xdr:row>
      <xdr:rowOff>176213</xdr:rowOff>
    </xdr:to>
    <xdr:graphicFrame macro="">
      <xdr:nvGraphicFramePr>
        <xdr:cNvPr id="17" name="Chart 16">
          <a:extLst>
            <a:ext uri="{FF2B5EF4-FFF2-40B4-BE49-F238E27FC236}">
              <a16:creationId xmlns:a16="http://schemas.microsoft.com/office/drawing/2014/main" id="{75D6FD88-FAC5-4D36-9DC9-536B4DD8DD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198437</xdr:colOff>
      <xdr:row>26</xdr:row>
      <xdr:rowOff>61516</xdr:rowOff>
    </xdr:from>
    <xdr:to>
      <xdr:col>20</xdr:col>
      <xdr:colOff>407986</xdr:colOff>
      <xdr:row>38</xdr:row>
      <xdr:rowOff>132953</xdr:rowOff>
    </xdr:to>
    <xdr:sp macro="" textlink="">
      <xdr:nvSpPr>
        <xdr:cNvPr id="1047" name="Rectangle: Rounded Corners 1046">
          <a:extLst>
            <a:ext uri="{FF2B5EF4-FFF2-40B4-BE49-F238E27FC236}">
              <a16:creationId xmlns:a16="http://schemas.microsoft.com/office/drawing/2014/main" id="{FA26965B-2FFF-4DEA-8086-BA96248BD950}"/>
            </a:ext>
          </a:extLst>
        </xdr:cNvPr>
        <xdr:cNvSpPr/>
      </xdr:nvSpPr>
      <xdr:spPr>
        <a:xfrm>
          <a:off x="9913937" y="4766866"/>
          <a:ext cx="3448049" cy="2243137"/>
        </a:xfrm>
        <a:prstGeom prst="roundRect">
          <a:avLst>
            <a:gd name="adj" fmla="val 6265"/>
          </a:avLst>
        </a:prstGeom>
        <a:solidFill>
          <a:srgbClr val="EFEDE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17</xdr:col>
      <xdr:colOff>191483</xdr:colOff>
      <xdr:row>27</xdr:row>
      <xdr:rowOff>54006</xdr:rowOff>
    </xdr:from>
    <xdr:to>
      <xdr:col>21</xdr:col>
      <xdr:colOff>34369</xdr:colOff>
      <xdr:row>37</xdr:row>
      <xdr:rowOff>93286</xdr:rowOff>
    </xdr:to>
    <xdr:graphicFrame macro="">
      <xdr:nvGraphicFramePr>
        <xdr:cNvPr id="1048" name="Chart 1047">
          <a:extLst>
            <a:ext uri="{FF2B5EF4-FFF2-40B4-BE49-F238E27FC236}">
              <a16:creationId xmlns:a16="http://schemas.microsoft.com/office/drawing/2014/main" id="{04525FD3-AA4F-4D8F-8098-77D0C79B5D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198437</xdr:colOff>
      <xdr:row>26</xdr:row>
      <xdr:rowOff>61516</xdr:rowOff>
    </xdr:from>
    <xdr:to>
      <xdr:col>18</xdr:col>
      <xdr:colOff>302617</xdr:colOff>
      <xdr:row>35</xdr:row>
      <xdr:rowOff>51594</xdr:rowOff>
    </xdr:to>
    <xdr:graphicFrame macro="">
      <xdr:nvGraphicFramePr>
        <xdr:cNvPr id="1049" name="Chart 1048">
          <a:extLst>
            <a:ext uri="{FF2B5EF4-FFF2-40B4-BE49-F238E27FC236}">
              <a16:creationId xmlns:a16="http://schemas.microsoft.com/office/drawing/2014/main" id="{6F185662-3CF6-4B6C-9190-2D35CAA611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211120</xdr:colOff>
      <xdr:row>29</xdr:row>
      <xdr:rowOff>68736</xdr:rowOff>
    </xdr:from>
    <xdr:to>
      <xdr:col>19</xdr:col>
      <xdr:colOff>643182</xdr:colOff>
      <xdr:row>35</xdr:row>
      <xdr:rowOff>78555</xdr:rowOff>
    </xdr:to>
    <xdr:sp macro="" textlink="">
      <xdr:nvSpPr>
        <xdr:cNvPr id="1052" name="Oval 1051">
          <a:extLst>
            <a:ext uri="{FF2B5EF4-FFF2-40B4-BE49-F238E27FC236}">
              <a16:creationId xmlns:a16="http://schemas.microsoft.com/office/drawing/2014/main" id="{6C68E168-0865-FA79-4BB4-F0D1860C5FF2}"/>
            </a:ext>
          </a:extLst>
        </xdr:cNvPr>
        <xdr:cNvSpPr/>
      </xdr:nvSpPr>
      <xdr:spPr>
        <a:xfrm>
          <a:off x="11876790" y="5336945"/>
          <a:ext cx="1080155" cy="1099794"/>
        </a:xfrm>
        <a:prstGeom prst="ellipse">
          <a:avLst/>
        </a:prstGeom>
        <a:solidFill>
          <a:sysClr val="window" lastClr="FFFFFF"/>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editAs="oneCell">
    <xdr:from>
      <xdr:col>18</xdr:col>
      <xdr:colOff>490980</xdr:colOff>
      <xdr:row>30</xdr:row>
      <xdr:rowOff>166933</xdr:rowOff>
    </xdr:from>
    <xdr:to>
      <xdr:col>19</xdr:col>
      <xdr:colOff>319137</xdr:colOff>
      <xdr:row>33</xdr:row>
      <xdr:rowOff>98195</xdr:rowOff>
    </xdr:to>
    <xdr:pic>
      <xdr:nvPicPr>
        <xdr:cNvPr id="1054" name="Picture 1053">
          <a:extLst>
            <a:ext uri="{FF2B5EF4-FFF2-40B4-BE49-F238E27FC236}">
              <a16:creationId xmlns:a16="http://schemas.microsoft.com/office/drawing/2014/main" id="{47D109F3-738A-7692-B313-1592DDBA4C3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156650" y="5616804"/>
          <a:ext cx="476250" cy="476250"/>
        </a:xfrm>
        <a:prstGeom prst="rect">
          <a:avLst/>
        </a:prstGeom>
      </xdr:spPr>
    </xdr:pic>
    <xdr:clientData/>
  </xdr:twoCellAnchor>
  <xdr:twoCellAnchor>
    <xdr:from>
      <xdr:col>15</xdr:col>
      <xdr:colOff>231349</xdr:colOff>
      <xdr:row>29</xdr:row>
      <xdr:rowOff>101486</xdr:rowOff>
    </xdr:from>
    <xdr:to>
      <xdr:col>18</xdr:col>
      <xdr:colOff>54597</xdr:colOff>
      <xdr:row>36</xdr:row>
      <xdr:rowOff>116216</xdr:rowOff>
    </xdr:to>
    <xdr:sp macro="" textlink="">
      <xdr:nvSpPr>
        <xdr:cNvPr id="1055" name="TextBox 1054">
          <a:extLst>
            <a:ext uri="{FF2B5EF4-FFF2-40B4-BE49-F238E27FC236}">
              <a16:creationId xmlns:a16="http://schemas.microsoft.com/office/drawing/2014/main" id="{6B854418-BE0F-9B7A-3C08-83ACA1C920A4}"/>
            </a:ext>
          </a:extLst>
        </xdr:cNvPr>
        <xdr:cNvSpPr txBox="1"/>
      </xdr:nvSpPr>
      <xdr:spPr>
        <a:xfrm>
          <a:off x="9946849" y="5349761"/>
          <a:ext cx="1766348" cy="1281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kern="1200" baseline="0">
              <a:solidFill>
                <a:srgbClr val="3F3531"/>
              </a:solidFill>
            </a:rPr>
            <a:t>The official library's </a:t>
          </a:r>
          <a:r>
            <a:rPr lang="en-US" sz="1100" b="1" kern="1200" baseline="0">
              <a:solidFill>
                <a:srgbClr val="3F3531"/>
              </a:solidFill>
            </a:rPr>
            <a:t>working hours </a:t>
          </a:r>
          <a:r>
            <a:rPr lang="en-US" sz="1100" kern="1200" baseline="0">
              <a:solidFill>
                <a:srgbClr val="3F3531"/>
              </a:solidFill>
            </a:rPr>
            <a:t>represent </a:t>
          </a:r>
          <a:r>
            <a:rPr lang="en-US" sz="2400" b="1" kern="1200" baseline="0">
              <a:ln>
                <a:solidFill>
                  <a:schemeClr val="tx1">
                    <a:lumMod val="65000"/>
                    <a:lumOff val="35000"/>
                  </a:schemeClr>
                </a:solidFill>
              </a:ln>
              <a:solidFill>
                <a:schemeClr val="accent4"/>
              </a:solidFill>
              <a:effectLst>
                <a:outerShdw blurRad="50800" dist="38100" dir="18900000" algn="bl" rotWithShape="0">
                  <a:prstClr val="black">
                    <a:alpha val="40000"/>
                  </a:prstClr>
                </a:outerShdw>
              </a:effectLst>
              <a:latin typeface="+mn-lt"/>
            </a:rPr>
            <a:t>37% </a:t>
          </a:r>
          <a:endParaRPr lang="ar-SA" sz="2400" b="1" kern="1200" baseline="0">
            <a:ln>
              <a:solidFill>
                <a:schemeClr val="tx1">
                  <a:lumMod val="65000"/>
                  <a:lumOff val="35000"/>
                </a:schemeClr>
              </a:solidFill>
            </a:ln>
            <a:solidFill>
              <a:schemeClr val="accent4"/>
            </a:solidFill>
            <a:effectLst>
              <a:outerShdw blurRad="50800" dist="38100" dir="18900000" algn="bl" rotWithShape="0">
                <a:prstClr val="black">
                  <a:alpha val="40000"/>
                </a:prstClr>
              </a:outerShdw>
            </a:effectLst>
            <a:latin typeface="+mn-lt"/>
          </a:endParaRPr>
        </a:p>
        <a:p>
          <a:pPr algn="ctr"/>
          <a:r>
            <a:rPr lang="en-US" sz="1100" kern="1200" baseline="0">
              <a:solidFill>
                <a:srgbClr val="594B45"/>
              </a:solidFill>
            </a:rPr>
            <a:t>of the </a:t>
          </a:r>
          <a:r>
            <a:rPr lang="en-US" sz="1100" b="1" kern="1200" baseline="0">
              <a:solidFill>
                <a:srgbClr val="594B45"/>
              </a:solidFill>
            </a:rPr>
            <a:t>total service hours</a:t>
          </a:r>
          <a:endParaRPr lang="en-US" sz="1100" b="1" kern="1200">
            <a:solidFill>
              <a:srgbClr val="594B45"/>
            </a:solidFill>
          </a:endParaRPr>
        </a:p>
      </xdr:txBody>
    </xdr:sp>
    <xdr:clientData/>
  </xdr:twoCellAnchor>
  <xdr:twoCellAnchor editAs="oneCell">
    <xdr:from>
      <xdr:col>0</xdr:col>
      <xdr:colOff>400519</xdr:colOff>
      <xdr:row>1</xdr:row>
      <xdr:rowOff>157162</xdr:rowOff>
    </xdr:from>
    <xdr:to>
      <xdr:col>2</xdr:col>
      <xdr:colOff>528396</xdr:colOff>
      <xdr:row>7</xdr:row>
      <xdr:rowOff>76199</xdr:rowOff>
    </xdr:to>
    <xdr:pic>
      <xdr:nvPicPr>
        <xdr:cNvPr id="16" name="Picture 15">
          <a:extLst>
            <a:ext uri="{FF2B5EF4-FFF2-40B4-BE49-F238E27FC236}">
              <a16:creationId xmlns:a16="http://schemas.microsoft.com/office/drawing/2014/main" id="{97759529-A72E-7A0C-BCAE-0A18C49B68CC}"/>
            </a:ext>
          </a:extLst>
        </xdr:cNvPr>
        <xdr:cNvPicPr>
          <a:picLocks noChangeAspect="1" noChangeArrowheads="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saturation sat="200000"/>
                  </a14:imgEffect>
                </a14:imgLayer>
              </a14:imgProps>
            </a:ext>
            <a:ext uri="{28A0092B-C50C-407E-A947-70E740481C1C}">
              <a14:useLocalDpi xmlns:a14="http://schemas.microsoft.com/office/drawing/2010/main" val="0"/>
            </a:ext>
          </a:extLst>
        </a:blip>
        <a:srcRect/>
        <a:stretch>
          <a:fillRect/>
        </a:stretch>
      </xdr:blipFill>
      <xdr:spPr bwMode="auto">
        <a:xfrm>
          <a:off x="400519" y="338137"/>
          <a:ext cx="1423277" cy="10048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341194</xdr:colOff>
      <xdr:row>9</xdr:row>
      <xdr:rowOff>175597</xdr:rowOff>
    </xdr:from>
    <xdr:to>
      <xdr:col>2</xdr:col>
      <xdr:colOff>557212</xdr:colOff>
      <xdr:row>11</xdr:row>
      <xdr:rowOff>160547</xdr:rowOff>
    </xdr:to>
    <xdr:sp macro="[0]!Macro3" textlink="">
      <xdr:nvSpPr>
        <xdr:cNvPr id="28" name="Rectangle: Rounded Corners 27">
          <a:extLst>
            <a:ext uri="{FF2B5EF4-FFF2-40B4-BE49-F238E27FC236}">
              <a16:creationId xmlns:a16="http://schemas.microsoft.com/office/drawing/2014/main" id="{737AD7F9-4E32-4BC2-9476-52B40E9CFC22}"/>
            </a:ext>
          </a:extLst>
        </xdr:cNvPr>
        <xdr:cNvSpPr/>
      </xdr:nvSpPr>
      <xdr:spPr>
        <a:xfrm>
          <a:off x="341194" y="1804372"/>
          <a:ext cx="1511418" cy="346900"/>
        </a:xfrm>
        <a:prstGeom prst="roundRect">
          <a:avLst>
            <a:gd name="adj" fmla="val 50000"/>
          </a:avLst>
        </a:prstGeom>
        <a:solidFill>
          <a:srgbClr val="7261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rgbClr val="FFFCF3"/>
              </a:solidFill>
            </a:rPr>
            <a:t>Clear Filters</a:t>
          </a:r>
        </a:p>
      </xdr:txBody>
    </xdr:sp>
    <xdr:clientData/>
  </xdr:twoCellAnchor>
  <xdr:twoCellAnchor>
    <xdr:from>
      <xdr:col>3</xdr:col>
      <xdr:colOff>82590</xdr:colOff>
      <xdr:row>9</xdr:row>
      <xdr:rowOff>175597</xdr:rowOff>
    </xdr:from>
    <xdr:to>
      <xdr:col>5</xdr:col>
      <xdr:colOff>298608</xdr:colOff>
      <xdr:row>11</xdr:row>
      <xdr:rowOff>160547</xdr:rowOff>
    </xdr:to>
    <xdr:sp macro="" textlink="">
      <xdr:nvSpPr>
        <xdr:cNvPr id="1024" name="Rectangle: Rounded Corners 1023">
          <a:hlinkClick xmlns:r="http://schemas.openxmlformats.org/officeDocument/2006/relationships" r:id="rId16"/>
          <a:extLst>
            <a:ext uri="{FF2B5EF4-FFF2-40B4-BE49-F238E27FC236}">
              <a16:creationId xmlns:a16="http://schemas.microsoft.com/office/drawing/2014/main" id="{913498DB-7CAA-48BC-A241-0F33CD95A281}"/>
            </a:ext>
          </a:extLst>
        </xdr:cNvPr>
        <xdr:cNvSpPr/>
      </xdr:nvSpPr>
      <xdr:spPr>
        <a:xfrm>
          <a:off x="2025690" y="1804372"/>
          <a:ext cx="1511418" cy="346900"/>
        </a:xfrm>
        <a:prstGeom prst="roundRect">
          <a:avLst>
            <a:gd name="adj" fmla="val 50000"/>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rgbClr val="594B45"/>
              </a:solidFill>
            </a:rPr>
            <a:t>More Detailes</a:t>
          </a:r>
        </a:p>
      </xdr:txBody>
    </xdr:sp>
    <xdr:clientData/>
  </xdr:twoCellAnchor>
  <xdr:twoCellAnchor>
    <xdr:from>
      <xdr:col>5</xdr:col>
      <xdr:colOff>462161</xdr:colOff>
      <xdr:row>9</xdr:row>
      <xdr:rowOff>175597</xdr:rowOff>
    </xdr:from>
    <xdr:to>
      <xdr:col>8</xdr:col>
      <xdr:colOff>30479</xdr:colOff>
      <xdr:row>11</xdr:row>
      <xdr:rowOff>160547</xdr:rowOff>
    </xdr:to>
    <xdr:sp macro="" textlink="">
      <xdr:nvSpPr>
        <xdr:cNvPr id="1025" name="Rectangle: Rounded Corners 1024">
          <a:hlinkClick xmlns:r="http://schemas.openxmlformats.org/officeDocument/2006/relationships" r:id="rId17"/>
          <a:extLst>
            <a:ext uri="{FF2B5EF4-FFF2-40B4-BE49-F238E27FC236}">
              <a16:creationId xmlns:a16="http://schemas.microsoft.com/office/drawing/2014/main" id="{4129887C-C4F7-4520-8E33-E53023BC193D}"/>
            </a:ext>
          </a:extLst>
        </xdr:cNvPr>
        <xdr:cNvSpPr/>
      </xdr:nvSpPr>
      <xdr:spPr>
        <a:xfrm>
          <a:off x="3700661" y="1804372"/>
          <a:ext cx="1511418" cy="346900"/>
        </a:xfrm>
        <a:prstGeom prst="roundRect">
          <a:avLst>
            <a:gd name="adj" fmla="val 50000"/>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rgbClr val="594B45"/>
              </a:solidFill>
            </a:rPr>
            <a:t>Services Directory</a:t>
          </a:r>
        </a:p>
        <a:p>
          <a:pPr algn="ctr"/>
          <a:br>
            <a:rPr lang="en-US" sz="1100" b="1">
              <a:solidFill>
                <a:srgbClr val="594B45"/>
              </a:solidFill>
            </a:rPr>
          </a:br>
          <a:endParaRPr lang="en-US" sz="1100" b="1">
            <a:solidFill>
              <a:srgbClr val="594B45"/>
            </a:solidFill>
          </a:endParaRPr>
        </a:p>
      </xdr:txBody>
    </xdr:sp>
    <xdr:clientData/>
  </xdr:twoCellAnchor>
  <xdr:twoCellAnchor>
    <xdr:from>
      <xdr:col>3</xdr:col>
      <xdr:colOff>54973</xdr:colOff>
      <xdr:row>3</xdr:row>
      <xdr:rowOff>71860</xdr:rowOff>
    </xdr:from>
    <xdr:to>
      <xdr:col>7</xdr:col>
      <xdr:colOff>453628</xdr:colOff>
      <xdr:row>7</xdr:row>
      <xdr:rowOff>129777</xdr:rowOff>
    </xdr:to>
    <xdr:sp macro="" textlink="">
      <xdr:nvSpPr>
        <xdr:cNvPr id="1029" name="TextBox 1028">
          <a:extLst>
            <a:ext uri="{FF2B5EF4-FFF2-40B4-BE49-F238E27FC236}">
              <a16:creationId xmlns:a16="http://schemas.microsoft.com/office/drawing/2014/main" id="{25A85DC7-1475-414B-8DE6-9BB16FAA8992}"/>
            </a:ext>
          </a:extLst>
        </xdr:cNvPr>
        <xdr:cNvSpPr txBox="1"/>
      </xdr:nvSpPr>
      <xdr:spPr>
        <a:xfrm>
          <a:off x="2001646" y="607641"/>
          <a:ext cx="2994217" cy="772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a:solidFill>
                <a:srgbClr val="594B45"/>
              </a:solidFill>
            </a:rPr>
            <a:t>2024 Beneficiary Analysis</a:t>
          </a:r>
        </a:p>
        <a:p>
          <a:pPr algn="l"/>
          <a:r>
            <a:rPr lang="en-US" sz="1800" b="1">
              <a:solidFill>
                <a:srgbClr val="594B45"/>
              </a:solidFill>
            </a:rPr>
            <a:t>of King Fahd National Library</a:t>
          </a:r>
        </a:p>
      </xdr:txBody>
    </xdr:sp>
    <xdr:clientData/>
  </xdr:twoCellAnchor>
  <xdr:twoCellAnchor>
    <xdr:from>
      <xdr:col>17</xdr:col>
      <xdr:colOff>623889</xdr:colOff>
      <xdr:row>36</xdr:row>
      <xdr:rowOff>71041</xdr:rowOff>
    </xdr:from>
    <xdr:to>
      <xdr:col>20</xdr:col>
      <xdr:colOff>128589</xdr:colOff>
      <xdr:row>38</xdr:row>
      <xdr:rowOff>95250</xdr:rowOff>
    </xdr:to>
    <xdr:sp macro="" textlink="">
      <xdr:nvSpPr>
        <xdr:cNvPr id="1031" name="TextBox 1030">
          <a:extLst>
            <a:ext uri="{FF2B5EF4-FFF2-40B4-BE49-F238E27FC236}">
              <a16:creationId xmlns:a16="http://schemas.microsoft.com/office/drawing/2014/main" id="{EA4E188C-340C-415D-9D70-E297ECF67B37}"/>
            </a:ext>
          </a:extLst>
        </xdr:cNvPr>
        <xdr:cNvSpPr txBox="1"/>
      </xdr:nvSpPr>
      <xdr:spPr>
        <a:xfrm>
          <a:off x="11634789" y="6586141"/>
          <a:ext cx="1447800" cy="38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0" kern="1200">
              <a:solidFill>
                <a:schemeClr val="tx1">
                  <a:lumMod val="65000"/>
                  <a:lumOff val="35000"/>
                </a:schemeClr>
              </a:solidFill>
            </a:rPr>
            <a:t>Beneficiary serivce hours </a:t>
          </a:r>
        </a:p>
      </xdr:txBody>
    </xdr:sp>
    <xdr:clientData/>
  </xdr:twoCellAnchor>
  <xdr:twoCellAnchor>
    <xdr:from>
      <xdr:col>17</xdr:col>
      <xdr:colOff>436561</xdr:colOff>
      <xdr:row>27</xdr:row>
      <xdr:rowOff>28176</xdr:rowOff>
    </xdr:from>
    <xdr:to>
      <xdr:col>19</xdr:col>
      <xdr:colOff>461963</xdr:colOff>
      <xdr:row>28</xdr:row>
      <xdr:rowOff>109536</xdr:rowOff>
    </xdr:to>
    <xdr:sp macro="" textlink="">
      <xdr:nvSpPr>
        <xdr:cNvPr id="1032" name="TextBox 1031">
          <a:extLst>
            <a:ext uri="{FF2B5EF4-FFF2-40B4-BE49-F238E27FC236}">
              <a16:creationId xmlns:a16="http://schemas.microsoft.com/office/drawing/2014/main" id="{6DB238C4-7DD4-4A44-A649-728BA68B24FC}"/>
            </a:ext>
          </a:extLst>
        </xdr:cNvPr>
        <xdr:cNvSpPr txBox="1"/>
      </xdr:nvSpPr>
      <xdr:spPr>
        <a:xfrm>
          <a:off x="11447461" y="4914501"/>
          <a:ext cx="1320802" cy="26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0" kern="1200">
              <a:solidFill>
                <a:schemeClr val="tx1">
                  <a:lumMod val="65000"/>
                  <a:lumOff val="35000"/>
                </a:schemeClr>
              </a:solidFill>
            </a:rPr>
            <a:t>Official working hours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52388</xdr:colOff>
      <xdr:row>0</xdr:row>
      <xdr:rowOff>71437</xdr:rowOff>
    </xdr:from>
    <xdr:to>
      <xdr:col>1</xdr:col>
      <xdr:colOff>323851</xdr:colOff>
      <xdr:row>2</xdr:row>
      <xdr:rowOff>28575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F1465C0-FAE3-4C1B-81DC-00BB7A47EC17}"/>
            </a:ext>
          </a:extLst>
        </xdr:cNvPr>
        <xdr:cNvSpPr/>
      </xdr:nvSpPr>
      <xdr:spPr>
        <a:xfrm>
          <a:off x="52388" y="71437"/>
          <a:ext cx="1233488" cy="252413"/>
        </a:xfrm>
        <a:prstGeom prst="roundRect">
          <a:avLst>
            <a:gd name="adj" fmla="val 0"/>
          </a:avLst>
        </a:prstGeom>
        <a:solidFill>
          <a:srgbClr val="72615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51.10325925926" createdVersion="8" refreshedVersion="8" minRefreshableVersion="3" recordCount="247" xr:uid="{7ED5B6CC-EFD3-460C-9870-0CA7EC09521E}">
  <cacheSource type="worksheet">
    <worksheetSource name="Table211"/>
  </cacheSource>
  <cacheFields count="7">
    <cacheField name="quarter" numFmtId="165">
      <sharedItems count="4">
        <s v="Q1"/>
        <s v="Q2"/>
        <s v="Q3"/>
        <s v="Q4"/>
      </sharedItems>
    </cacheField>
    <cacheField name="month" numFmtId="0">
      <sharedItems count="12">
        <s v="January"/>
        <s v="February"/>
        <s v="March"/>
        <s v="April"/>
        <s v="May"/>
        <s v="June"/>
        <s v="July"/>
        <s v="August"/>
        <s v="September"/>
        <s v="October"/>
        <s v="November"/>
        <s v="December"/>
      </sharedItems>
    </cacheField>
    <cacheField name="date" numFmtId="14">
      <sharedItems containsSemiMixedTypes="0" containsNonDate="0" containsDate="1" containsString="0" minDate="2024-01-01T00:00:00" maxDate="2025-01-01T00:00:00"/>
    </cacheField>
    <cacheField name="day" numFmtId="0">
      <sharedItems count="7">
        <s v="Monday"/>
        <s v="Tuesday"/>
        <s v="Wednesday"/>
        <s v="Thursday"/>
        <s v="Sunday"/>
        <s v="Saturday"/>
        <s v="Friday"/>
      </sharedItems>
    </cacheField>
    <cacheField name="male" numFmtId="0">
      <sharedItems containsSemiMixedTypes="0" containsString="0" containsNumber="1" containsInteger="1" minValue="0" maxValue="526"/>
    </cacheField>
    <cacheField name="female" numFmtId="0">
      <sharedItems containsSemiMixedTypes="0" containsString="0" containsNumber="1" containsInteger="1" minValue="0" maxValue="635"/>
    </cacheField>
    <cacheField name="total" numFmtId="0">
      <sharedItems containsSemiMixedTypes="0" containsString="0" containsNumber="1" containsInteger="1" minValue="1" maxValue="1129"/>
    </cacheField>
  </cacheFields>
  <extLst>
    <ext xmlns:x14="http://schemas.microsoft.com/office/spreadsheetml/2009/9/main" uri="{725AE2AE-9491-48be-B2B4-4EB974FC3084}">
      <x14:pivotCacheDefinition pivotCacheId="99794281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51.113148032404" createdVersion="8" refreshedVersion="8" minRefreshableVersion="3" recordCount="15" xr:uid="{12462102-9557-4649-9A01-8F16426D99AE}">
  <cacheSource type="worksheet">
    <worksheetSource name="Table15"/>
  </cacheSource>
  <cacheFields count="3">
    <cacheField name="criteria" numFmtId="0">
      <sharedItems count="5">
        <s v="How satisfied  are you with the reference services offered at the library (availability of books, resources, and ease of access)"/>
        <s v="How satisfied are you with the staff conduct"/>
        <s v="How satisfied are you with the electronic services offered at the library"/>
        <s v="How satisfied are you with the library's working hours"/>
        <s v="How would you rate the library environment (cleanliness, quietness, air conditioning, etc.)"/>
      </sharedItems>
    </cacheField>
    <cacheField name="response" numFmtId="0">
      <sharedItems count="3">
        <s v="satisfied"/>
        <s v="netural"/>
        <s v="dissatisfied"/>
      </sharedItems>
    </cacheField>
    <cacheField name="count" numFmtId="0">
      <sharedItems containsSemiMixedTypes="0" containsString="0" containsNumber="1" containsInteger="1" minValue="65" maxValue="808" count="15">
        <n v="673"/>
        <n v="160"/>
        <n v="597"/>
        <n v="808"/>
        <n v="67"/>
        <n v="555"/>
        <n v="683"/>
        <n v="168"/>
        <n v="579"/>
        <n v="543"/>
        <n v="138"/>
        <n v="749"/>
        <n v="769"/>
        <n v="65"/>
        <n v="596"/>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51.958906481479" createdVersion="8" refreshedVersion="8" minRefreshableVersion="3" recordCount="17" xr:uid="{96A76466-F759-4E4E-9611-07148D6BC8DD}">
  <cacheSource type="worksheet">
    <worksheetSource name="Table4"/>
  </cacheSource>
  <cacheFields count="5">
    <cacheField name="service_name" numFmtId="0">
      <sharedItems count="17">
        <s v="Printed Material Registration Request"/>
        <s v="Periodical Registration Request"/>
        <s v="Non-Printed Material Registration"/>
        <s v="Artistic Material Registration Request"/>
        <s v="Research Topic Inquiry (Master/PhD)"/>
        <s v="Electronic Document Upload Service"/>
        <s v="Sources List Request"/>
        <s v="Digital Content Request"/>
        <s v="Private Study Room Booking Request"/>
        <s v="Attendance Certificate Request"/>
        <s v="Manuscript Request"/>
        <s v="Historical Documents Service Request"/>
        <s v="Historical Photos Request"/>
        <s v="Library Journal Publication Service"/>
        <s v="Scientific Work or Book Publication Registration"/>
        <s v="Official Visit Request"/>
        <s v="Saudi Author Identification Data Service"/>
      </sharedItems>
    </cacheField>
    <cacheField name="requests" numFmtId="0">
      <sharedItems containsSemiMixedTypes="0" containsString="0" containsNumber="1" containsInteger="1" minValue="6" maxValue="12936"/>
    </cacheField>
    <cacheField name="service_link" numFmtId="0">
      <sharedItems/>
    </cacheField>
    <cacheField name="descreption " numFmtId="0">
      <sharedItems longText="1"/>
    </cacheField>
    <cacheField name="service_category" numFmtId="0">
      <sharedItems count="5">
        <s v="Registration Services"/>
        <s v="Research Support Services"/>
        <s v="Publishing Services"/>
        <s v="Visitor Services"/>
        <s v="Historical Archive Services"/>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Qonot ahmed" refreshedDate="46053.73798888889" createdVersion="8" refreshedVersion="8" minRefreshableVersion="3" recordCount="23" xr:uid="{6EE36624-BF97-4C1E-9613-76ADA32E66B8}">
  <cacheSource type="worksheet">
    <worksheetSource name="Table1"/>
  </cacheSource>
  <cacheFields count="8">
    <cacheField name="quarter" numFmtId="0">
      <sharedItems count="4">
        <s v="Q1"/>
        <s v="Q2"/>
        <s v="Q3"/>
        <s v="Q4"/>
      </sharedItems>
    </cacheField>
    <cacheField name="city" numFmtId="0">
      <sharedItems/>
    </cacheField>
    <cacheField name="event_title" numFmtId="0">
      <sharedItems/>
    </cacheField>
    <cacheField name="audince " numFmtId="0">
      <sharedItems count="2">
        <s v="Public"/>
        <s v="Private "/>
      </sharedItems>
    </cacheField>
    <cacheField name="location" numFmtId="0">
      <sharedItems count="5">
        <s v="King Fahd National Library"/>
        <s v="King Saud University"/>
        <s v="Four Seasons Hotel"/>
        <s v="Mayadeen Venue "/>
        <s v="King Khalid Cultural Center"/>
      </sharedItems>
    </cacheField>
    <cacheField name="days" numFmtId="0">
      <sharedItems containsSemiMixedTypes="0" containsString="0" containsNumber="1" containsInteger="1" minValue="1" maxValue="10"/>
    </cacheField>
    <cacheField name="start_date" numFmtId="14">
      <sharedItems containsSemiMixedTypes="0" containsNonDate="0" containsDate="1" containsString="0" minDate="2024-01-01T00:00:00" maxDate="2024-12-19T00:00:00"/>
    </cacheField>
    <cacheField name="end_date" numFmtId="14">
      <sharedItems containsSemiMixedTypes="0" containsNonDate="0" containsDate="1" containsString="0" minDate="2024-01-01T00:00:00" maxDate="2024-12-19T00:00:00"/>
    </cacheField>
  </cacheFields>
  <extLst>
    <ext xmlns:x14="http://schemas.microsoft.com/office/spreadsheetml/2009/9/main" uri="{725AE2AE-9491-48be-B2B4-4EB974FC3084}">
      <x14:pivotCacheDefinition pivotCacheId="495107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7">
  <r>
    <x v="0"/>
    <x v="0"/>
    <d v="2024-01-01T00:00:00"/>
    <x v="0"/>
    <n v="255"/>
    <n v="206"/>
    <n v="461"/>
  </r>
  <r>
    <x v="0"/>
    <x v="0"/>
    <d v="2024-01-02T00:00:00"/>
    <x v="1"/>
    <n v="233"/>
    <n v="178"/>
    <n v="411"/>
  </r>
  <r>
    <x v="0"/>
    <x v="0"/>
    <d v="2024-01-03T00:00:00"/>
    <x v="2"/>
    <n v="234"/>
    <n v="183"/>
    <n v="417"/>
  </r>
  <r>
    <x v="0"/>
    <x v="0"/>
    <d v="2024-01-04T00:00:00"/>
    <x v="3"/>
    <n v="232"/>
    <n v="163"/>
    <n v="395"/>
  </r>
  <r>
    <x v="0"/>
    <x v="0"/>
    <d v="2024-01-07T00:00:00"/>
    <x v="4"/>
    <n v="279"/>
    <n v="242"/>
    <n v="521"/>
  </r>
  <r>
    <x v="0"/>
    <x v="0"/>
    <d v="2024-01-08T00:00:00"/>
    <x v="0"/>
    <n v="256"/>
    <n v="200"/>
    <n v="456"/>
  </r>
  <r>
    <x v="0"/>
    <x v="0"/>
    <d v="2024-01-09T00:00:00"/>
    <x v="1"/>
    <n v="187"/>
    <n v="157"/>
    <n v="344"/>
  </r>
  <r>
    <x v="0"/>
    <x v="0"/>
    <d v="2024-01-10T00:00:00"/>
    <x v="2"/>
    <n v="260"/>
    <n v="210"/>
    <n v="470"/>
  </r>
  <r>
    <x v="0"/>
    <x v="0"/>
    <d v="2024-01-11T00:00:00"/>
    <x v="3"/>
    <n v="234"/>
    <n v="172"/>
    <n v="406"/>
  </r>
  <r>
    <x v="0"/>
    <x v="0"/>
    <d v="2024-01-14T00:00:00"/>
    <x v="4"/>
    <n v="242"/>
    <n v="209"/>
    <n v="451"/>
  </r>
  <r>
    <x v="0"/>
    <x v="0"/>
    <d v="2024-01-15T00:00:00"/>
    <x v="0"/>
    <n v="285"/>
    <n v="199"/>
    <n v="484"/>
  </r>
  <r>
    <x v="0"/>
    <x v="0"/>
    <d v="2024-01-16T00:00:00"/>
    <x v="1"/>
    <n v="267"/>
    <n v="225"/>
    <n v="492"/>
  </r>
  <r>
    <x v="0"/>
    <x v="0"/>
    <d v="2024-01-17T00:00:00"/>
    <x v="2"/>
    <n v="248"/>
    <n v="236"/>
    <n v="484"/>
  </r>
  <r>
    <x v="0"/>
    <x v="0"/>
    <d v="2024-01-18T00:00:00"/>
    <x v="3"/>
    <n v="219"/>
    <n v="214"/>
    <n v="433"/>
  </r>
  <r>
    <x v="0"/>
    <x v="0"/>
    <d v="2024-01-21T00:00:00"/>
    <x v="4"/>
    <n v="252"/>
    <n v="238"/>
    <n v="490"/>
  </r>
  <r>
    <x v="0"/>
    <x v="0"/>
    <d v="2024-01-22T00:00:00"/>
    <x v="0"/>
    <n v="268"/>
    <n v="207"/>
    <n v="475"/>
  </r>
  <r>
    <x v="0"/>
    <x v="0"/>
    <d v="2024-01-23T00:00:00"/>
    <x v="1"/>
    <n v="257"/>
    <n v="252"/>
    <n v="509"/>
  </r>
  <r>
    <x v="0"/>
    <x v="0"/>
    <d v="2024-01-24T00:00:00"/>
    <x v="2"/>
    <n v="296"/>
    <n v="211"/>
    <n v="507"/>
  </r>
  <r>
    <x v="0"/>
    <x v="0"/>
    <d v="2024-01-25T00:00:00"/>
    <x v="3"/>
    <n v="240"/>
    <n v="248"/>
    <n v="488"/>
  </r>
  <r>
    <x v="0"/>
    <x v="0"/>
    <d v="2024-01-28T00:00:00"/>
    <x v="4"/>
    <n v="352"/>
    <n v="344"/>
    <n v="696"/>
  </r>
  <r>
    <x v="0"/>
    <x v="0"/>
    <d v="2024-01-29T00:00:00"/>
    <x v="0"/>
    <n v="279"/>
    <n v="221"/>
    <n v="500"/>
  </r>
  <r>
    <x v="0"/>
    <x v="0"/>
    <d v="2024-01-30T00:00:00"/>
    <x v="1"/>
    <n v="265"/>
    <n v="219"/>
    <n v="484"/>
  </r>
  <r>
    <x v="0"/>
    <x v="0"/>
    <d v="2024-01-31T00:00:00"/>
    <x v="2"/>
    <n v="227"/>
    <n v="246"/>
    <n v="473"/>
  </r>
  <r>
    <x v="0"/>
    <x v="1"/>
    <d v="2024-02-01T00:00:00"/>
    <x v="3"/>
    <n v="248"/>
    <n v="246"/>
    <n v="494"/>
  </r>
  <r>
    <x v="0"/>
    <x v="1"/>
    <d v="2024-02-04T00:00:00"/>
    <x v="4"/>
    <n v="311"/>
    <n v="259"/>
    <n v="570"/>
  </r>
  <r>
    <x v="0"/>
    <x v="1"/>
    <d v="2024-02-05T00:00:00"/>
    <x v="0"/>
    <n v="284"/>
    <n v="253"/>
    <n v="537"/>
  </r>
  <r>
    <x v="0"/>
    <x v="1"/>
    <d v="2024-02-06T00:00:00"/>
    <x v="1"/>
    <n v="292"/>
    <n v="259"/>
    <n v="551"/>
  </r>
  <r>
    <x v="0"/>
    <x v="1"/>
    <d v="2024-02-07T00:00:00"/>
    <x v="2"/>
    <n v="298"/>
    <n v="258"/>
    <n v="556"/>
  </r>
  <r>
    <x v="0"/>
    <x v="1"/>
    <d v="2024-02-08T00:00:00"/>
    <x v="3"/>
    <n v="253"/>
    <n v="290"/>
    <n v="543"/>
  </r>
  <r>
    <x v="0"/>
    <x v="1"/>
    <d v="2024-02-11T00:00:00"/>
    <x v="4"/>
    <n v="331"/>
    <n v="287"/>
    <n v="618"/>
  </r>
  <r>
    <x v="0"/>
    <x v="1"/>
    <d v="2024-02-12T00:00:00"/>
    <x v="0"/>
    <n v="331"/>
    <n v="298"/>
    <n v="629"/>
  </r>
  <r>
    <x v="0"/>
    <x v="1"/>
    <d v="2024-02-13T00:00:00"/>
    <x v="1"/>
    <n v="320"/>
    <n v="256"/>
    <n v="576"/>
  </r>
  <r>
    <x v="0"/>
    <x v="1"/>
    <d v="2024-02-14T00:00:00"/>
    <x v="2"/>
    <n v="307"/>
    <n v="258"/>
    <n v="565"/>
  </r>
  <r>
    <x v="0"/>
    <x v="1"/>
    <d v="2024-02-15T00:00:00"/>
    <x v="3"/>
    <n v="279"/>
    <n v="239"/>
    <n v="518"/>
  </r>
  <r>
    <x v="0"/>
    <x v="1"/>
    <d v="2024-02-18T00:00:00"/>
    <x v="4"/>
    <n v="309"/>
    <n v="244"/>
    <n v="553"/>
  </r>
  <r>
    <x v="0"/>
    <x v="1"/>
    <d v="2024-02-19T00:00:00"/>
    <x v="0"/>
    <n v="278"/>
    <n v="199"/>
    <n v="477"/>
  </r>
  <r>
    <x v="0"/>
    <x v="1"/>
    <d v="2024-02-20T00:00:00"/>
    <x v="1"/>
    <n v="261"/>
    <n v="220"/>
    <n v="481"/>
  </r>
  <r>
    <x v="0"/>
    <x v="1"/>
    <d v="2024-02-21T00:00:00"/>
    <x v="2"/>
    <n v="222"/>
    <n v="167"/>
    <n v="389"/>
  </r>
  <r>
    <x v="0"/>
    <x v="1"/>
    <d v="2024-02-25T00:00:00"/>
    <x v="4"/>
    <n v="309"/>
    <n v="290"/>
    <n v="599"/>
  </r>
  <r>
    <x v="0"/>
    <x v="1"/>
    <d v="2024-02-26T00:00:00"/>
    <x v="0"/>
    <n v="320"/>
    <n v="293"/>
    <n v="613"/>
  </r>
  <r>
    <x v="0"/>
    <x v="1"/>
    <d v="2024-02-27T00:00:00"/>
    <x v="1"/>
    <n v="310"/>
    <n v="312"/>
    <n v="622"/>
  </r>
  <r>
    <x v="0"/>
    <x v="1"/>
    <d v="2024-02-28T00:00:00"/>
    <x v="2"/>
    <n v="309"/>
    <n v="286"/>
    <n v="595"/>
  </r>
  <r>
    <x v="0"/>
    <x v="1"/>
    <d v="2024-02-29T00:00:00"/>
    <x v="3"/>
    <n v="256"/>
    <n v="270"/>
    <n v="526"/>
  </r>
  <r>
    <x v="0"/>
    <x v="2"/>
    <d v="2024-03-03T00:00:00"/>
    <x v="4"/>
    <n v="303"/>
    <n v="237"/>
    <n v="540"/>
  </r>
  <r>
    <x v="0"/>
    <x v="2"/>
    <d v="2024-03-04T00:00:00"/>
    <x v="0"/>
    <n v="284"/>
    <n v="216"/>
    <n v="500"/>
  </r>
  <r>
    <x v="0"/>
    <x v="2"/>
    <d v="2024-03-05T00:00:00"/>
    <x v="1"/>
    <n v="270"/>
    <n v="241"/>
    <n v="511"/>
  </r>
  <r>
    <x v="0"/>
    <x v="2"/>
    <d v="2024-03-06T00:00:00"/>
    <x v="2"/>
    <n v="286"/>
    <n v="244"/>
    <n v="530"/>
  </r>
  <r>
    <x v="0"/>
    <x v="2"/>
    <d v="2024-03-07T00:00:00"/>
    <x v="3"/>
    <n v="279"/>
    <n v="238"/>
    <n v="517"/>
  </r>
  <r>
    <x v="0"/>
    <x v="2"/>
    <d v="2024-03-10T00:00:00"/>
    <x v="4"/>
    <n v="204"/>
    <n v="207"/>
    <n v="411"/>
  </r>
  <r>
    <x v="0"/>
    <x v="2"/>
    <d v="2024-03-11T00:00:00"/>
    <x v="0"/>
    <n v="128"/>
    <n v="63"/>
    <n v="191"/>
  </r>
  <r>
    <x v="0"/>
    <x v="2"/>
    <d v="2024-03-12T00:00:00"/>
    <x v="1"/>
    <n v="122"/>
    <n v="94"/>
    <n v="216"/>
  </r>
  <r>
    <x v="0"/>
    <x v="2"/>
    <d v="2024-03-13T00:00:00"/>
    <x v="2"/>
    <n v="141"/>
    <n v="91"/>
    <n v="232"/>
  </r>
  <r>
    <x v="0"/>
    <x v="2"/>
    <d v="2024-03-14T00:00:00"/>
    <x v="3"/>
    <n v="141"/>
    <n v="91"/>
    <n v="232"/>
  </r>
  <r>
    <x v="0"/>
    <x v="2"/>
    <d v="2024-03-17T00:00:00"/>
    <x v="4"/>
    <n v="150"/>
    <n v="83"/>
    <n v="233"/>
  </r>
  <r>
    <x v="0"/>
    <x v="2"/>
    <d v="2024-03-18T00:00:00"/>
    <x v="0"/>
    <n v="150"/>
    <n v="123"/>
    <n v="273"/>
  </r>
  <r>
    <x v="0"/>
    <x v="2"/>
    <d v="2024-03-19T00:00:00"/>
    <x v="1"/>
    <n v="151"/>
    <n v="109"/>
    <n v="260"/>
  </r>
  <r>
    <x v="0"/>
    <x v="2"/>
    <d v="2024-03-20T00:00:00"/>
    <x v="2"/>
    <n v="138"/>
    <n v="115"/>
    <n v="253"/>
  </r>
  <r>
    <x v="0"/>
    <x v="2"/>
    <d v="2024-03-21T00:00:00"/>
    <x v="3"/>
    <n v="129"/>
    <n v="94"/>
    <n v="223"/>
  </r>
  <r>
    <x v="0"/>
    <x v="2"/>
    <d v="2024-03-24T00:00:00"/>
    <x v="4"/>
    <n v="145"/>
    <n v="131"/>
    <n v="276"/>
  </r>
  <r>
    <x v="0"/>
    <x v="2"/>
    <d v="2024-03-25T00:00:00"/>
    <x v="0"/>
    <n v="108"/>
    <n v="110"/>
    <n v="218"/>
  </r>
  <r>
    <x v="0"/>
    <x v="2"/>
    <d v="2024-03-26T00:00:00"/>
    <x v="1"/>
    <n v="108"/>
    <n v="115"/>
    <n v="223"/>
  </r>
  <r>
    <x v="0"/>
    <x v="2"/>
    <d v="2024-03-27T00:00:00"/>
    <x v="2"/>
    <n v="118"/>
    <n v="100"/>
    <n v="218"/>
  </r>
  <r>
    <x v="0"/>
    <x v="2"/>
    <d v="2024-03-28T00:00:00"/>
    <x v="3"/>
    <n v="89"/>
    <n v="81"/>
    <n v="170"/>
  </r>
  <r>
    <x v="0"/>
    <x v="2"/>
    <d v="2024-03-31T00:00:00"/>
    <x v="4"/>
    <n v="106"/>
    <n v="95"/>
    <n v="201"/>
  </r>
  <r>
    <x v="1"/>
    <x v="3"/>
    <d v="2024-04-01T00:00:00"/>
    <x v="0"/>
    <n v="96"/>
    <n v="85"/>
    <n v="181"/>
  </r>
  <r>
    <x v="1"/>
    <x v="3"/>
    <d v="2024-04-02T00:00:00"/>
    <x v="1"/>
    <n v="105"/>
    <n v="86"/>
    <n v="191"/>
  </r>
  <r>
    <x v="1"/>
    <x v="3"/>
    <d v="2024-04-03T00:00:00"/>
    <x v="2"/>
    <n v="97"/>
    <n v="72"/>
    <n v="169"/>
  </r>
  <r>
    <x v="1"/>
    <x v="3"/>
    <d v="2024-04-15T00:00:00"/>
    <x v="0"/>
    <n v="230"/>
    <n v="187"/>
    <n v="417"/>
  </r>
  <r>
    <x v="1"/>
    <x v="3"/>
    <d v="2024-04-16T00:00:00"/>
    <x v="1"/>
    <n v="300"/>
    <n v="243"/>
    <n v="543"/>
  </r>
  <r>
    <x v="1"/>
    <x v="3"/>
    <d v="2024-04-17T00:00:00"/>
    <x v="2"/>
    <n v="258"/>
    <n v="253"/>
    <n v="511"/>
  </r>
  <r>
    <x v="1"/>
    <x v="3"/>
    <d v="2024-04-18T00:00:00"/>
    <x v="3"/>
    <n v="299"/>
    <n v="285"/>
    <n v="584"/>
  </r>
  <r>
    <x v="1"/>
    <x v="3"/>
    <d v="2024-04-21T00:00:00"/>
    <x v="4"/>
    <n v="301"/>
    <n v="305"/>
    <n v="606"/>
  </r>
  <r>
    <x v="1"/>
    <x v="3"/>
    <d v="2024-04-22T00:00:00"/>
    <x v="0"/>
    <n v="290"/>
    <n v="344"/>
    <n v="634"/>
  </r>
  <r>
    <x v="1"/>
    <x v="3"/>
    <d v="2024-04-23T00:00:00"/>
    <x v="1"/>
    <n v="303"/>
    <n v="336"/>
    <n v="639"/>
  </r>
  <r>
    <x v="1"/>
    <x v="3"/>
    <d v="2024-04-24T00:00:00"/>
    <x v="2"/>
    <n v="309"/>
    <n v="309"/>
    <n v="619"/>
  </r>
  <r>
    <x v="1"/>
    <x v="3"/>
    <d v="2024-04-25T00:00:00"/>
    <x v="3"/>
    <n v="330"/>
    <n v="302"/>
    <n v="632"/>
  </r>
  <r>
    <x v="1"/>
    <x v="3"/>
    <d v="2024-04-28T00:00:00"/>
    <x v="4"/>
    <n v="350"/>
    <n v="347"/>
    <n v="697"/>
  </r>
  <r>
    <x v="1"/>
    <x v="3"/>
    <d v="2024-04-29T00:00:00"/>
    <x v="0"/>
    <n v="333"/>
    <n v="300"/>
    <n v="633"/>
  </r>
  <r>
    <x v="1"/>
    <x v="3"/>
    <d v="2024-04-30T00:00:00"/>
    <x v="1"/>
    <n v="324"/>
    <n v="332"/>
    <n v="656"/>
  </r>
  <r>
    <x v="1"/>
    <x v="4"/>
    <d v="2024-05-01T00:00:00"/>
    <x v="2"/>
    <n v="310"/>
    <n v="304"/>
    <n v="614"/>
  </r>
  <r>
    <x v="1"/>
    <x v="4"/>
    <d v="2024-05-02T00:00:00"/>
    <x v="3"/>
    <n v="349"/>
    <n v="407"/>
    <n v="756"/>
  </r>
  <r>
    <x v="1"/>
    <x v="4"/>
    <d v="2024-05-05T00:00:00"/>
    <x v="4"/>
    <n v="356"/>
    <n v="326"/>
    <n v="682"/>
  </r>
  <r>
    <x v="1"/>
    <x v="4"/>
    <d v="2024-05-06T00:00:00"/>
    <x v="0"/>
    <n v="325"/>
    <n v="344"/>
    <n v="669"/>
  </r>
  <r>
    <x v="1"/>
    <x v="4"/>
    <d v="2024-05-07T00:00:00"/>
    <x v="1"/>
    <n v="320"/>
    <n v="333"/>
    <n v="653"/>
  </r>
  <r>
    <x v="1"/>
    <x v="4"/>
    <d v="2024-05-08T00:00:00"/>
    <x v="2"/>
    <n v="332"/>
    <n v="373"/>
    <n v="705"/>
  </r>
  <r>
    <x v="1"/>
    <x v="4"/>
    <d v="2024-05-09T00:00:00"/>
    <x v="3"/>
    <n v="355"/>
    <n v="365"/>
    <n v="720"/>
  </r>
  <r>
    <x v="1"/>
    <x v="4"/>
    <d v="2024-05-12T00:00:00"/>
    <x v="4"/>
    <n v="360"/>
    <n v="386"/>
    <n v="746"/>
  </r>
  <r>
    <x v="1"/>
    <x v="4"/>
    <d v="2024-05-13T00:00:00"/>
    <x v="0"/>
    <n v="365"/>
    <n v="395"/>
    <n v="760"/>
  </r>
  <r>
    <x v="1"/>
    <x v="4"/>
    <d v="2024-05-14T00:00:00"/>
    <x v="1"/>
    <n v="380"/>
    <n v="410"/>
    <n v="790"/>
  </r>
  <r>
    <x v="1"/>
    <x v="4"/>
    <d v="2024-05-15T00:00:00"/>
    <x v="2"/>
    <n v="405"/>
    <n v="419"/>
    <n v="824"/>
  </r>
  <r>
    <x v="1"/>
    <x v="4"/>
    <d v="2024-05-16T00:00:00"/>
    <x v="3"/>
    <n v="435"/>
    <n v="523"/>
    <n v="958"/>
  </r>
  <r>
    <x v="1"/>
    <x v="4"/>
    <d v="2024-05-19T00:00:00"/>
    <x v="4"/>
    <n v="442"/>
    <n v="450"/>
    <n v="892"/>
  </r>
  <r>
    <x v="1"/>
    <x v="4"/>
    <d v="2024-05-20T00:00:00"/>
    <x v="0"/>
    <n v="461"/>
    <n v="543"/>
    <n v="1004"/>
  </r>
  <r>
    <x v="1"/>
    <x v="4"/>
    <d v="2024-05-21T00:00:00"/>
    <x v="1"/>
    <n v="475"/>
    <n v="529"/>
    <n v="1004"/>
  </r>
  <r>
    <x v="1"/>
    <x v="4"/>
    <d v="2024-05-22T00:00:00"/>
    <x v="2"/>
    <n v="462"/>
    <n v="527"/>
    <n v="989"/>
  </r>
  <r>
    <x v="1"/>
    <x v="4"/>
    <d v="2024-05-23T00:00:00"/>
    <x v="3"/>
    <n v="497"/>
    <n v="551"/>
    <n v="1048"/>
  </r>
  <r>
    <x v="1"/>
    <x v="4"/>
    <d v="2024-05-26T00:00:00"/>
    <x v="4"/>
    <n v="432"/>
    <n v="498"/>
    <n v="930"/>
  </r>
  <r>
    <x v="1"/>
    <x v="4"/>
    <d v="2024-05-27T00:00:00"/>
    <x v="0"/>
    <n v="374"/>
    <n v="481"/>
    <n v="855"/>
  </r>
  <r>
    <x v="1"/>
    <x v="4"/>
    <d v="2024-05-28T00:00:00"/>
    <x v="1"/>
    <n v="419"/>
    <n v="438"/>
    <n v="857"/>
  </r>
  <r>
    <x v="1"/>
    <x v="4"/>
    <d v="2024-05-29T00:00:00"/>
    <x v="2"/>
    <n v="449"/>
    <n v="433"/>
    <n v="882"/>
  </r>
  <r>
    <x v="1"/>
    <x v="4"/>
    <d v="2024-05-30T00:00:00"/>
    <x v="3"/>
    <n v="366"/>
    <n v="412"/>
    <n v="778"/>
  </r>
  <r>
    <x v="1"/>
    <x v="5"/>
    <d v="2024-06-02T00:00:00"/>
    <x v="4"/>
    <n v="349"/>
    <n v="383"/>
    <n v="732"/>
  </r>
  <r>
    <x v="1"/>
    <x v="5"/>
    <d v="2024-06-03T00:00:00"/>
    <x v="0"/>
    <n v="367"/>
    <n v="328"/>
    <n v="695"/>
  </r>
  <r>
    <x v="1"/>
    <x v="5"/>
    <d v="2024-06-04T00:00:00"/>
    <x v="1"/>
    <n v="347"/>
    <n v="240"/>
    <n v="587"/>
  </r>
  <r>
    <x v="1"/>
    <x v="5"/>
    <d v="2024-06-05T00:00:00"/>
    <x v="2"/>
    <n v="263"/>
    <n v="252"/>
    <n v="515"/>
  </r>
  <r>
    <x v="1"/>
    <x v="5"/>
    <d v="2024-06-06T00:00:00"/>
    <x v="3"/>
    <n v="225"/>
    <n v="197"/>
    <n v="422"/>
  </r>
  <r>
    <x v="1"/>
    <x v="5"/>
    <d v="2024-06-08T00:00:00"/>
    <x v="5"/>
    <n v="1"/>
    <n v="0"/>
    <n v="1"/>
  </r>
  <r>
    <x v="1"/>
    <x v="5"/>
    <d v="2024-06-09T00:00:00"/>
    <x v="4"/>
    <n v="286"/>
    <n v="184"/>
    <n v="470"/>
  </r>
  <r>
    <x v="1"/>
    <x v="5"/>
    <d v="2024-06-10T00:00:00"/>
    <x v="0"/>
    <n v="181"/>
    <n v="150"/>
    <n v="331"/>
  </r>
  <r>
    <x v="1"/>
    <x v="5"/>
    <d v="2024-06-23T00:00:00"/>
    <x v="4"/>
    <n v="233"/>
    <n v="166"/>
    <n v="399"/>
  </r>
  <r>
    <x v="1"/>
    <x v="5"/>
    <d v="2024-06-24T00:00:00"/>
    <x v="0"/>
    <n v="243"/>
    <n v="201"/>
    <n v="444"/>
  </r>
  <r>
    <x v="1"/>
    <x v="5"/>
    <d v="2024-06-25T00:00:00"/>
    <x v="1"/>
    <n v="233"/>
    <n v="226"/>
    <n v="459"/>
  </r>
  <r>
    <x v="1"/>
    <x v="5"/>
    <d v="2024-06-26T00:00:00"/>
    <x v="2"/>
    <n v="274"/>
    <n v="226"/>
    <n v="500"/>
  </r>
  <r>
    <x v="1"/>
    <x v="5"/>
    <d v="2024-06-27T00:00:00"/>
    <x v="3"/>
    <n v="255"/>
    <n v="218"/>
    <n v="473"/>
  </r>
  <r>
    <x v="1"/>
    <x v="5"/>
    <d v="2024-06-30T00:00:00"/>
    <x v="4"/>
    <n v="235"/>
    <n v="208"/>
    <n v="443"/>
  </r>
  <r>
    <x v="2"/>
    <x v="6"/>
    <d v="2024-07-01T00:00:00"/>
    <x v="0"/>
    <n v="259"/>
    <n v="259"/>
    <n v="518"/>
  </r>
  <r>
    <x v="2"/>
    <x v="6"/>
    <d v="2024-07-02T00:00:00"/>
    <x v="1"/>
    <n v="288"/>
    <n v="253"/>
    <n v="541"/>
  </r>
  <r>
    <x v="2"/>
    <x v="6"/>
    <d v="2024-07-03T00:00:00"/>
    <x v="2"/>
    <n v="286"/>
    <n v="252"/>
    <n v="538"/>
  </r>
  <r>
    <x v="2"/>
    <x v="6"/>
    <d v="2024-07-04T00:00:00"/>
    <x v="3"/>
    <n v="258"/>
    <n v="231"/>
    <n v="489"/>
  </r>
  <r>
    <x v="2"/>
    <x v="6"/>
    <d v="2024-07-07T00:00:00"/>
    <x v="4"/>
    <n v="258"/>
    <n v="280"/>
    <n v="538"/>
  </r>
  <r>
    <x v="2"/>
    <x v="6"/>
    <d v="2024-07-08T00:00:00"/>
    <x v="0"/>
    <n v="273"/>
    <n v="264"/>
    <n v="537"/>
  </r>
  <r>
    <x v="2"/>
    <x v="6"/>
    <d v="2024-07-09T00:00:00"/>
    <x v="1"/>
    <n v="306"/>
    <n v="302"/>
    <n v="608"/>
  </r>
  <r>
    <x v="2"/>
    <x v="6"/>
    <d v="2024-07-10T00:00:00"/>
    <x v="2"/>
    <n v="266"/>
    <n v="246"/>
    <n v="512"/>
  </r>
  <r>
    <x v="2"/>
    <x v="6"/>
    <d v="2024-07-11T00:00:00"/>
    <x v="3"/>
    <n v="269"/>
    <n v="253"/>
    <n v="522"/>
  </r>
  <r>
    <x v="2"/>
    <x v="6"/>
    <d v="2024-07-14T00:00:00"/>
    <x v="4"/>
    <n v="267"/>
    <n v="280"/>
    <n v="547"/>
  </r>
  <r>
    <x v="2"/>
    <x v="6"/>
    <d v="2024-07-15T00:00:00"/>
    <x v="0"/>
    <n v="236"/>
    <n v="244"/>
    <n v="480"/>
  </r>
  <r>
    <x v="2"/>
    <x v="6"/>
    <d v="2024-07-16T00:00:00"/>
    <x v="1"/>
    <n v="248"/>
    <n v="206"/>
    <n v="454"/>
  </r>
  <r>
    <x v="2"/>
    <x v="6"/>
    <d v="2024-07-17T00:00:00"/>
    <x v="2"/>
    <n v="275"/>
    <n v="256"/>
    <n v="531"/>
  </r>
  <r>
    <x v="2"/>
    <x v="6"/>
    <d v="2024-07-18T00:00:00"/>
    <x v="3"/>
    <n v="259"/>
    <n v="248"/>
    <n v="507"/>
  </r>
  <r>
    <x v="2"/>
    <x v="6"/>
    <d v="2024-07-21T00:00:00"/>
    <x v="4"/>
    <n v="301"/>
    <n v="277"/>
    <n v="578"/>
  </r>
  <r>
    <x v="2"/>
    <x v="6"/>
    <d v="2024-07-22T00:00:00"/>
    <x v="0"/>
    <n v="288"/>
    <n v="278"/>
    <n v="566"/>
  </r>
  <r>
    <x v="2"/>
    <x v="6"/>
    <d v="2024-07-23T00:00:00"/>
    <x v="1"/>
    <n v="276"/>
    <n v="278"/>
    <n v="554"/>
  </r>
  <r>
    <x v="2"/>
    <x v="6"/>
    <d v="2024-07-24T00:00:00"/>
    <x v="2"/>
    <n v="275"/>
    <n v="245"/>
    <n v="520"/>
  </r>
  <r>
    <x v="2"/>
    <x v="6"/>
    <d v="2024-07-25T00:00:00"/>
    <x v="3"/>
    <n v="272"/>
    <n v="259"/>
    <n v="531"/>
  </r>
  <r>
    <x v="2"/>
    <x v="6"/>
    <d v="2024-07-28T00:00:00"/>
    <x v="4"/>
    <n v="289"/>
    <n v="286"/>
    <n v="575"/>
  </r>
  <r>
    <x v="2"/>
    <x v="6"/>
    <d v="2024-07-29T00:00:00"/>
    <x v="0"/>
    <n v="293"/>
    <n v="307"/>
    <n v="600"/>
  </r>
  <r>
    <x v="2"/>
    <x v="6"/>
    <d v="2024-07-30T00:00:00"/>
    <x v="1"/>
    <n v="262"/>
    <n v="280"/>
    <n v="542"/>
  </r>
  <r>
    <x v="2"/>
    <x v="6"/>
    <d v="2024-07-31T00:00:00"/>
    <x v="2"/>
    <n v="278"/>
    <n v="278"/>
    <n v="556"/>
  </r>
  <r>
    <x v="2"/>
    <x v="7"/>
    <d v="2024-08-01T00:00:00"/>
    <x v="3"/>
    <n v="249"/>
    <n v="254"/>
    <n v="503"/>
  </r>
  <r>
    <x v="2"/>
    <x v="7"/>
    <d v="2024-08-04T00:00:00"/>
    <x v="4"/>
    <n v="314"/>
    <n v="298"/>
    <n v="612"/>
  </r>
  <r>
    <x v="2"/>
    <x v="7"/>
    <d v="2024-08-05T00:00:00"/>
    <x v="0"/>
    <n v="307"/>
    <n v="298"/>
    <n v="605"/>
  </r>
  <r>
    <x v="2"/>
    <x v="7"/>
    <d v="2024-08-06T00:00:00"/>
    <x v="1"/>
    <n v="296"/>
    <n v="295"/>
    <n v="591"/>
  </r>
  <r>
    <x v="2"/>
    <x v="7"/>
    <d v="2024-08-07T00:00:00"/>
    <x v="2"/>
    <n v="306"/>
    <n v="305"/>
    <n v="611"/>
  </r>
  <r>
    <x v="2"/>
    <x v="7"/>
    <d v="2024-08-08T00:00:00"/>
    <x v="3"/>
    <n v="283"/>
    <n v="294"/>
    <n v="577"/>
  </r>
  <r>
    <x v="2"/>
    <x v="7"/>
    <d v="2024-08-11T00:00:00"/>
    <x v="4"/>
    <n v="327"/>
    <n v="302"/>
    <n v="629"/>
  </r>
  <r>
    <x v="2"/>
    <x v="7"/>
    <d v="2024-08-12T00:00:00"/>
    <x v="0"/>
    <n v="297"/>
    <n v="300"/>
    <n v="597"/>
  </r>
  <r>
    <x v="2"/>
    <x v="7"/>
    <d v="2024-08-13T00:00:00"/>
    <x v="1"/>
    <n v="302"/>
    <n v="295"/>
    <n v="597"/>
  </r>
  <r>
    <x v="2"/>
    <x v="7"/>
    <d v="2024-08-14T00:00:00"/>
    <x v="2"/>
    <n v="299"/>
    <n v="265"/>
    <n v="564"/>
  </r>
  <r>
    <x v="2"/>
    <x v="7"/>
    <d v="2024-08-15T00:00:00"/>
    <x v="3"/>
    <n v="292"/>
    <n v="261"/>
    <n v="553"/>
  </r>
  <r>
    <x v="2"/>
    <x v="7"/>
    <d v="2024-08-18T00:00:00"/>
    <x v="4"/>
    <n v="277"/>
    <n v="249"/>
    <n v="526"/>
  </r>
  <r>
    <x v="2"/>
    <x v="7"/>
    <d v="2024-08-19T00:00:00"/>
    <x v="0"/>
    <n v="296"/>
    <n v="260"/>
    <n v="556"/>
  </r>
  <r>
    <x v="2"/>
    <x v="7"/>
    <d v="2024-08-20T00:00:00"/>
    <x v="1"/>
    <n v="316"/>
    <n v="296"/>
    <n v="612"/>
  </r>
  <r>
    <x v="2"/>
    <x v="7"/>
    <d v="2024-08-21T00:00:00"/>
    <x v="2"/>
    <n v="349"/>
    <n v="315"/>
    <n v="664"/>
  </r>
  <r>
    <x v="2"/>
    <x v="7"/>
    <d v="2024-08-22T00:00:00"/>
    <x v="3"/>
    <n v="338"/>
    <n v="327"/>
    <n v="666"/>
  </r>
  <r>
    <x v="2"/>
    <x v="7"/>
    <d v="2024-08-25T00:00:00"/>
    <x v="4"/>
    <n v="332"/>
    <n v="335"/>
    <n v="667"/>
  </r>
  <r>
    <x v="2"/>
    <x v="7"/>
    <d v="2024-08-26T00:00:00"/>
    <x v="0"/>
    <n v="354"/>
    <n v="322"/>
    <n v="676"/>
  </r>
  <r>
    <x v="2"/>
    <x v="7"/>
    <d v="2024-08-27T00:00:00"/>
    <x v="1"/>
    <n v="328"/>
    <n v="306"/>
    <n v="634"/>
  </r>
  <r>
    <x v="2"/>
    <x v="7"/>
    <d v="2024-08-28T00:00:00"/>
    <x v="2"/>
    <n v="377"/>
    <n v="320"/>
    <n v="697"/>
  </r>
  <r>
    <x v="2"/>
    <x v="7"/>
    <d v="2024-08-29T00:00:00"/>
    <x v="3"/>
    <n v="344"/>
    <n v="382"/>
    <n v="726"/>
  </r>
  <r>
    <x v="2"/>
    <x v="8"/>
    <d v="2024-09-01T00:00:00"/>
    <x v="4"/>
    <n v="377"/>
    <n v="392"/>
    <n v="769"/>
  </r>
  <r>
    <x v="2"/>
    <x v="8"/>
    <d v="2024-09-02T00:00:00"/>
    <x v="0"/>
    <n v="376"/>
    <n v="347"/>
    <n v="723"/>
  </r>
  <r>
    <x v="2"/>
    <x v="8"/>
    <d v="2024-09-03T00:00:00"/>
    <x v="1"/>
    <n v="369"/>
    <n v="391"/>
    <n v="760"/>
  </r>
  <r>
    <x v="2"/>
    <x v="8"/>
    <d v="2024-09-04T00:00:00"/>
    <x v="2"/>
    <n v="314"/>
    <n v="385"/>
    <n v="699"/>
  </r>
  <r>
    <x v="2"/>
    <x v="8"/>
    <d v="2024-09-05T00:00:00"/>
    <x v="3"/>
    <n v="370"/>
    <n v="352"/>
    <n v="722"/>
  </r>
  <r>
    <x v="2"/>
    <x v="8"/>
    <d v="2024-09-08T00:00:00"/>
    <x v="4"/>
    <n v="368"/>
    <n v="404"/>
    <n v="772"/>
  </r>
  <r>
    <x v="2"/>
    <x v="8"/>
    <d v="2024-09-09T00:00:00"/>
    <x v="0"/>
    <n v="399"/>
    <n v="362"/>
    <n v="761"/>
  </r>
  <r>
    <x v="2"/>
    <x v="8"/>
    <d v="2024-09-10T00:00:00"/>
    <x v="1"/>
    <n v="391"/>
    <n v="405"/>
    <n v="796"/>
  </r>
  <r>
    <x v="2"/>
    <x v="8"/>
    <d v="2024-09-11T00:00:00"/>
    <x v="2"/>
    <n v="379"/>
    <n v="385"/>
    <n v="764"/>
  </r>
  <r>
    <x v="2"/>
    <x v="8"/>
    <d v="2024-09-12T00:00:00"/>
    <x v="3"/>
    <n v="363"/>
    <n v="369"/>
    <n v="732"/>
  </r>
  <r>
    <x v="2"/>
    <x v="8"/>
    <d v="2024-09-15T00:00:00"/>
    <x v="4"/>
    <n v="391"/>
    <n v="370"/>
    <n v="761"/>
  </r>
  <r>
    <x v="2"/>
    <x v="8"/>
    <d v="2024-09-16T00:00:00"/>
    <x v="0"/>
    <n v="333"/>
    <n v="353"/>
    <n v="686"/>
  </r>
  <r>
    <x v="2"/>
    <x v="8"/>
    <d v="2024-09-17T00:00:00"/>
    <x v="1"/>
    <n v="373"/>
    <n v="361"/>
    <n v="734"/>
  </r>
  <r>
    <x v="2"/>
    <x v="8"/>
    <d v="2024-09-18T00:00:00"/>
    <x v="2"/>
    <n v="344"/>
    <n v="326"/>
    <n v="670"/>
  </r>
  <r>
    <x v="2"/>
    <x v="8"/>
    <d v="2024-09-19T00:00:00"/>
    <x v="3"/>
    <n v="340"/>
    <n v="331"/>
    <n v="671"/>
  </r>
  <r>
    <x v="2"/>
    <x v="8"/>
    <d v="2024-09-24T00:00:00"/>
    <x v="1"/>
    <n v="187"/>
    <n v="163"/>
    <n v="350"/>
  </r>
  <r>
    <x v="2"/>
    <x v="8"/>
    <d v="2024-09-25T00:00:00"/>
    <x v="2"/>
    <n v="342"/>
    <n v="286"/>
    <n v="628"/>
  </r>
  <r>
    <x v="2"/>
    <x v="8"/>
    <d v="2024-09-26T00:00:00"/>
    <x v="3"/>
    <n v="352"/>
    <n v="339"/>
    <n v="691"/>
  </r>
  <r>
    <x v="2"/>
    <x v="8"/>
    <d v="2024-09-29T00:00:00"/>
    <x v="4"/>
    <n v="346"/>
    <n v="345"/>
    <n v="691"/>
  </r>
  <r>
    <x v="2"/>
    <x v="8"/>
    <d v="2024-09-30T00:00:00"/>
    <x v="0"/>
    <n v="329"/>
    <n v="352"/>
    <n v="681"/>
  </r>
  <r>
    <x v="3"/>
    <x v="9"/>
    <d v="2024-10-01T00:00:00"/>
    <x v="1"/>
    <n v="139"/>
    <n v="162"/>
    <n v="301"/>
  </r>
  <r>
    <x v="3"/>
    <x v="9"/>
    <d v="2024-10-02T00:00:00"/>
    <x v="2"/>
    <n v="386"/>
    <n v="346"/>
    <n v="732"/>
  </r>
  <r>
    <x v="3"/>
    <x v="9"/>
    <d v="2024-10-03T00:00:00"/>
    <x v="3"/>
    <n v="366"/>
    <n v="340"/>
    <n v="706"/>
  </r>
  <r>
    <x v="3"/>
    <x v="9"/>
    <d v="2024-10-06T00:00:00"/>
    <x v="4"/>
    <n v="396"/>
    <n v="404"/>
    <n v="800"/>
  </r>
  <r>
    <x v="3"/>
    <x v="9"/>
    <d v="2024-10-07T00:00:00"/>
    <x v="0"/>
    <n v="380"/>
    <n v="402"/>
    <n v="782"/>
  </r>
  <r>
    <x v="3"/>
    <x v="9"/>
    <d v="2024-10-08T00:00:00"/>
    <x v="1"/>
    <n v="422"/>
    <n v="405"/>
    <n v="827"/>
  </r>
  <r>
    <x v="3"/>
    <x v="9"/>
    <d v="2024-10-09T00:00:00"/>
    <x v="2"/>
    <n v="387"/>
    <n v="346"/>
    <n v="733"/>
  </r>
  <r>
    <x v="3"/>
    <x v="9"/>
    <d v="2024-10-10T00:00:00"/>
    <x v="3"/>
    <n v="356"/>
    <n v="348"/>
    <n v="704"/>
  </r>
  <r>
    <x v="3"/>
    <x v="9"/>
    <d v="2024-10-13T00:00:00"/>
    <x v="4"/>
    <n v="400"/>
    <n v="395"/>
    <n v="795"/>
  </r>
  <r>
    <x v="3"/>
    <x v="9"/>
    <d v="2024-10-14T00:00:00"/>
    <x v="0"/>
    <n v="369"/>
    <n v="380"/>
    <n v="749"/>
  </r>
  <r>
    <x v="3"/>
    <x v="9"/>
    <d v="2024-10-15T00:00:00"/>
    <x v="1"/>
    <n v="373"/>
    <n v="312"/>
    <n v="685"/>
  </r>
  <r>
    <x v="3"/>
    <x v="9"/>
    <d v="2024-10-16T00:00:00"/>
    <x v="2"/>
    <n v="328"/>
    <n v="337"/>
    <n v="665"/>
  </r>
  <r>
    <x v="3"/>
    <x v="9"/>
    <d v="2024-10-17T00:00:00"/>
    <x v="3"/>
    <n v="376"/>
    <n v="375"/>
    <n v="751"/>
  </r>
  <r>
    <x v="3"/>
    <x v="9"/>
    <d v="2024-10-20T00:00:00"/>
    <x v="4"/>
    <n v="386"/>
    <n v="376"/>
    <n v="762"/>
  </r>
  <r>
    <x v="3"/>
    <x v="9"/>
    <d v="2024-10-21T00:00:00"/>
    <x v="0"/>
    <n v="397"/>
    <n v="373"/>
    <n v="770"/>
  </r>
  <r>
    <x v="3"/>
    <x v="9"/>
    <d v="2024-10-22T00:00:00"/>
    <x v="1"/>
    <n v="356"/>
    <n v="351"/>
    <n v="707"/>
  </r>
  <r>
    <x v="3"/>
    <x v="9"/>
    <d v="2024-10-23T00:00:00"/>
    <x v="2"/>
    <n v="383"/>
    <n v="369"/>
    <n v="752"/>
  </r>
  <r>
    <x v="3"/>
    <x v="9"/>
    <d v="2024-10-24T00:00:00"/>
    <x v="3"/>
    <n v="367"/>
    <n v="361"/>
    <n v="728"/>
  </r>
  <r>
    <x v="3"/>
    <x v="9"/>
    <d v="2024-10-27T00:00:00"/>
    <x v="4"/>
    <n v="362"/>
    <n v="362"/>
    <n v="724"/>
  </r>
  <r>
    <x v="3"/>
    <x v="9"/>
    <d v="2024-10-28T00:00:00"/>
    <x v="0"/>
    <n v="367"/>
    <n v="433"/>
    <n v="800"/>
  </r>
  <r>
    <x v="3"/>
    <x v="9"/>
    <d v="2024-10-29T00:00:00"/>
    <x v="1"/>
    <n v="410"/>
    <n v="393"/>
    <n v="803"/>
  </r>
  <r>
    <x v="3"/>
    <x v="9"/>
    <d v="2024-10-30T00:00:00"/>
    <x v="2"/>
    <n v="404"/>
    <n v="380"/>
    <n v="784"/>
  </r>
  <r>
    <x v="3"/>
    <x v="9"/>
    <d v="2024-10-31T00:00:00"/>
    <x v="3"/>
    <n v="356"/>
    <n v="329"/>
    <n v="685"/>
  </r>
  <r>
    <x v="3"/>
    <x v="10"/>
    <d v="2024-11-03T00:00:00"/>
    <x v="4"/>
    <n v="400"/>
    <n v="370"/>
    <n v="770"/>
  </r>
  <r>
    <x v="3"/>
    <x v="10"/>
    <d v="2024-11-04T00:00:00"/>
    <x v="0"/>
    <n v="386"/>
    <n v="358"/>
    <n v="744"/>
  </r>
  <r>
    <x v="3"/>
    <x v="10"/>
    <d v="2024-11-05T00:00:00"/>
    <x v="1"/>
    <n v="340"/>
    <n v="345"/>
    <n v="685"/>
  </r>
  <r>
    <x v="3"/>
    <x v="10"/>
    <d v="2024-11-06T00:00:00"/>
    <x v="2"/>
    <n v="322"/>
    <n v="310"/>
    <n v="632"/>
  </r>
  <r>
    <x v="3"/>
    <x v="10"/>
    <d v="2024-11-07T00:00:00"/>
    <x v="3"/>
    <n v="269"/>
    <n v="293"/>
    <n v="562"/>
  </r>
  <r>
    <x v="3"/>
    <x v="10"/>
    <d v="2024-11-10T00:00:00"/>
    <x v="4"/>
    <n v="391"/>
    <n v="372"/>
    <n v="763"/>
  </r>
  <r>
    <x v="3"/>
    <x v="10"/>
    <d v="2024-11-11T00:00:00"/>
    <x v="0"/>
    <n v="359"/>
    <n v="355"/>
    <n v="714"/>
  </r>
  <r>
    <x v="3"/>
    <x v="10"/>
    <d v="2024-11-12T00:00:00"/>
    <x v="1"/>
    <n v="381"/>
    <n v="383"/>
    <n v="764"/>
  </r>
  <r>
    <x v="3"/>
    <x v="10"/>
    <d v="2024-11-13T00:00:00"/>
    <x v="2"/>
    <n v="375"/>
    <n v="396"/>
    <n v="771"/>
  </r>
  <r>
    <x v="3"/>
    <x v="10"/>
    <d v="2024-11-14T00:00:00"/>
    <x v="3"/>
    <n v="351"/>
    <n v="376"/>
    <n v="727"/>
  </r>
  <r>
    <x v="3"/>
    <x v="10"/>
    <d v="2024-11-17T00:00:00"/>
    <x v="4"/>
    <n v="407"/>
    <n v="357"/>
    <n v="764"/>
  </r>
  <r>
    <x v="3"/>
    <x v="10"/>
    <d v="2024-11-18T00:00:00"/>
    <x v="0"/>
    <n v="346"/>
    <n v="323"/>
    <n v="669"/>
  </r>
  <r>
    <x v="3"/>
    <x v="10"/>
    <d v="2024-11-19T00:00:00"/>
    <x v="1"/>
    <n v="367"/>
    <n v="355"/>
    <n v="722"/>
  </r>
  <r>
    <x v="3"/>
    <x v="10"/>
    <d v="2024-11-20T00:00:00"/>
    <x v="2"/>
    <n v="396"/>
    <n v="336"/>
    <n v="732"/>
  </r>
  <r>
    <x v="3"/>
    <x v="10"/>
    <d v="2024-11-21T00:00:00"/>
    <x v="3"/>
    <n v="364"/>
    <n v="362"/>
    <n v="726"/>
  </r>
  <r>
    <x v="3"/>
    <x v="10"/>
    <d v="2024-11-24T00:00:00"/>
    <x v="4"/>
    <n v="398"/>
    <n v="339"/>
    <n v="737"/>
  </r>
  <r>
    <x v="3"/>
    <x v="10"/>
    <d v="2024-11-25T00:00:00"/>
    <x v="0"/>
    <n v="358"/>
    <n v="344"/>
    <n v="702"/>
  </r>
  <r>
    <x v="3"/>
    <x v="10"/>
    <d v="2024-11-26T00:00:00"/>
    <x v="1"/>
    <n v="350"/>
    <n v="361"/>
    <n v="711"/>
  </r>
  <r>
    <x v="3"/>
    <x v="10"/>
    <d v="2024-11-27T00:00:00"/>
    <x v="2"/>
    <n v="358"/>
    <n v="359"/>
    <n v="717"/>
  </r>
  <r>
    <x v="3"/>
    <x v="10"/>
    <d v="2024-11-28T00:00:00"/>
    <x v="3"/>
    <n v="364"/>
    <n v="367"/>
    <n v="731"/>
  </r>
  <r>
    <x v="3"/>
    <x v="11"/>
    <d v="2024-12-01T00:00:00"/>
    <x v="4"/>
    <n v="419"/>
    <n v="441"/>
    <n v="860"/>
  </r>
  <r>
    <x v="3"/>
    <x v="11"/>
    <d v="2024-12-02T00:00:00"/>
    <x v="0"/>
    <n v="400"/>
    <n v="441"/>
    <n v="841"/>
  </r>
  <r>
    <x v="3"/>
    <x v="11"/>
    <d v="2024-12-03T00:00:00"/>
    <x v="1"/>
    <n v="393"/>
    <n v="453"/>
    <n v="846"/>
  </r>
  <r>
    <x v="3"/>
    <x v="11"/>
    <d v="2024-12-04T00:00:00"/>
    <x v="2"/>
    <n v="393"/>
    <n v="466"/>
    <n v="859"/>
  </r>
  <r>
    <x v="3"/>
    <x v="11"/>
    <d v="2024-12-05T00:00:00"/>
    <x v="3"/>
    <n v="236"/>
    <n v="295"/>
    <n v="531"/>
  </r>
  <r>
    <x v="3"/>
    <x v="11"/>
    <d v="2024-12-06T00:00:00"/>
    <x v="6"/>
    <n v="0"/>
    <n v="2"/>
    <n v="2"/>
  </r>
  <r>
    <x v="3"/>
    <x v="11"/>
    <d v="2024-12-07T00:00:00"/>
    <x v="5"/>
    <n v="1"/>
    <n v="0"/>
    <n v="1"/>
  </r>
  <r>
    <x v="3"/>
    <x v="11"/>
    <d v="2024-12-08T00:00:00"/>
    <x v="4"/>
    <n v="391"/>
    <n v="536"/>
    <n v="927"/>
  </r>
  <r>
    <x v="3"/>
    <x v="11"/>
    <d v="2024-12-09T00:00:00"/>
    <x v="0"/>
    <n v="452"/>
    <n v="557"/>
    <n v="1009"/>
  </r>
  <r>
    <x v="3"/>
    <x v="11"/>
    <d v="2024-12-10T00:00:00"/>
    <x v="1"/>
    <n v="485"/>
    <n v="536"/>
    <n v="1021"/>
  </r>
  <r>
    <x v="3"/>
    <x v="11"/>
    <d v="2024-12-11T00:00:00"/>
    <x v="2"/>
    <n v="494"/>
    <n v="635"/>
    <n v="1129"/>
  </r>
  <r>
    <x v="3"/>
    <x v="11"/>
    <d v="2024-12-12T00:00:00"/>
    <x v="3"/>
    <n v="526"/>
    <n v="586"/>
    <n v="1112"/>
  </r>
  <r>
    <x v="3"/>
    <x v="11"/>
    <d v="2024-12-15T00:00:00"/>
    <x v="4"/>
    <n v="472"/>
    <n v="550"/>
    <n v="1022"/>
  </r>
  <r>
    <x v="3"/>
    <x v="11"/>
    <d v="2024-12-16T00:00:00"/>
    <x v="0"/>
    <n v="501"/>
    <n v="556"/>
    <n v="1057"/>
  </r>
  <r>
    <x v="3"/>
    <x v="11"/>
    <d v="2024-12-17T00:00:00"/>
    <x v="1"/>
    <n v="497"/>
    <n v="536"/>
    <n v="1033"/>
  </r>
  <r>
    <x v="3"/>
    <x v="11"/>
    <d v="2024-12-18T00:00:00"/>
    <x v="2"/>
    <n v="510"/>
    <n v="537"/>
    <n v="1047"/>
  </r>
  <r>
    <x v="3"/>
    <x v="11"/>
    <d v="2024-12-19T00:00:00"/>
    <x v="3"/>
    <n v="426"/>
    <n v="493"/>
    <n v="919"/>
  </r>
  <r>
    <x v="3"/>
    <x v="11"/>
    <d v="2024-12-22T00:00:00"/>
    <x v="4"/>
    <n v="486"/>
    <n v="461"/>
    <n v="947"/>
  </r>
  <r>
    <x v="3"/>
    <x v="11"/>
    <d v="2024-12-23T00:00:00"/>
    <x v="0"/>
    <n v="406"/>
    <n v="414"/>
    <n v="820"/>
  </r>
  <r>
    <x v="3"/>
    <x v="11"/>
    <d v="2024-12-24T00:00:00"/>
    <x v="1"/>
    <n v="442"/>
    <n v="389"/>
    <n v="831"/>
  </r>
  <r>
    <x v="3"/>
    <x v="11"/>
    <d v="2024-12-25T00:00:00"/>
    <x v="2"/>
    <n v="398"/>
    <n v="356"/>
    <n v="754"/>
  </r>
  <r>
    <x v="3"/>
    <x v="11"/>
    <d v="2024-12-26T00:00:00"/>
    <x v="3"/>
    <n v="397"/>
    <n v="338"/>
    <n v="735"/>
  </r>
  <r>
    <x v="3"/>
    <x v="11"/>
    <d v="2024-12-29T00:00:00"/>
    <x v="4"/>
    <n v="424"/>
    <n v="342"/>
    <n v="766"/>
  </r>
  <r>
    <x v="3"/>
    <x v="11"/>
    <d v="2024-12-30T00:00:00"/>
    <x v="0"/>
    <n v="411"/>
    <n v="349"/>
    <n v="760"/>
  </r>
  <r>
    <x v="3"/>
    <x v="11"/>
    <d v="2024-12-31T00:00:00"/>
    <x v="1"/>
    <n v="381"/>
    <n v="269"/>
    <n v="65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r>
  <r>
    <x v="0"/>
    <x v="1"/>
    <x v="1"/>
  </r>
  <r>
    <x v="0"/>
    <x v="2"/>
    <x v="2"/>
  </r>
  <r>
    <x v="1"/>
    <x v="0"/>
    <x v="3"/>
  </r>
  <r>
    <x v="1"/>
    <x v="1"/>
    <x v="4"/>
  </r>
  <r>
    <x v="1"/>
    <x v="2"/>
    <x v="5"/>
  </r>
  <r>
    <x v="2"/>
    <x v="0"/>
    <x v="6"/>
  </r>
  <r>
    <x v="2"/>
    <x v="1"/>
    <x v="7"/>
  </r>
  <r>
    <x v="2"/>
    <x v="2"/>
    <x v="8"/>
  </r>
  <r>
    <x v="3"/>
    <x v="0"/>
    <x v="9"/>
  </r>
  <r>
    <x v="3"/>
    <x v="1"/>
    <x v="10"/>
  </r>
  <r>
    <x v="3"/>
    <x v="2"/>
    <x v="11"/>
  </r>
  <r>
    <x v="4"/>
    <x v="0"/>
    <x v="12"/>
  </r>
  <r>
    <x v="4"/>
    <x v="1"/>
    <x v="13"/>
  </r>
  <r>
    <x v="4"/>
    <x v="2"/>
    <x v="1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x v="0"/>
    <n v="9732"/>
    <s v="https://kfnl.gov.sa/Ar/EServices/wfs/Pages/2.aspx"/>
    <s v="تتيح هذه الخدمة للجهات الحكومية إمكانية تسجيل أعمالها الفكرية من نوع (كتاب - كتيب - مطوية - خرائط) وا​لحصول على بطاقة (فهرسة أثناء النشر) قبل طباعة المادة طباعة نهائية"/>
    <x v="0"/>
  </r>
  <r>
    <x v="1"/>
    <n v="71"/>
    <s v="https://kfnl.gov.sa/Ar/EServices/wfs/Pages/3.aspx"/>
    <s v="​تتيح​​ هذه الخدمة للمستفيدين إمكانية تسجيل طلب تسجيل دورية جديدة في المملكة ( مجلة , صحيفة , حولية , وغيرها ) "/>
    <x v="0"/>
  </r>
  <r>
    <x v="2"/>
    <n v="1151"/>
    <s v="https://kfnl.gov.sa/Ar/EServices/wfs/Pages/4.aspx"/>
    <s v="تتيح​​ هذه الخدمة للمستفيدين إمكانية تسجيل مادة متعددة الوسائط ( شريط سمعي , قرص سمعي , شريط فديو , شريط سينمائي , قرص مدمج , برنامج حاسب .. ) "/>
    <x v="0"/>
  </r>
  <r>
    <x v="3"/>
    <n v="6"/>
    <s v="https://kfnl.gov.sa/Ar/EServices/wfs/Pages/5.aspx"/>
    <s v="​تتيح​​ هذه الخدمة للمستفيدين إمكانية تسجيل مادة فنية ( رسم , نحت ومجسمات , نسيج باتيك , تصوير , خزف .. )"/>
    <x v="0"/>
  </r>
  <r>
    <x v="4"/>
    <n v="12936"/>
    <s v="https://kfnl.gov.sa/Ar/EServices/wfs/Pages/7.aspx"/>
    <s v=" ​تقدم هذه الخدمة لأقسام الدراسات العليا في بعض الجامعات السعودية وتهدف إلى معرفة هل موضوع البحث تم بحثه مسبقاً"/>
    <x v="1"/>
  </r>
  <r>
    <x v="5"/>
    <n v="1659"/>
    <s v="https://eservices.kfnl.gov.sa:8060/KFNLDeptVisitors/Account/Login?ReturnUrl=%2fKFNLDeptVisitors%2f"/>
    <s v="تتيح هذه الخدمة للمودعين إمكانية تحميل ملفات المحتوى الرقمي لعملهم المودع في المكتبة كجزء من إجراءات عملية الإيداع"/>
    <x v="2"/>
  </r>
  <r>
    <x v="6"/>
    <n v="396"/>
    <s v="https://kfnl.gov.sa/Ar/EServices/wfs/Pages/129.aspx"/>
    <s v="تتيح هذه الخدمة للباحثين إمكانية استخراج قائمة بمصادر المعلومات وارسال مستخرج (Printout) لمصادر المعلومات المختارة الى البريد الالكتروني للمستفيد"/>
    <x v="1"/>
  </r>
  <r>
    <x v="7"/>
    <n v="203"/>
    <s v="https://kfnl.gov.sa/Ar/EServices/wfs/Pages/130.aspx"/>
    <s v="تتيح هذه الخدمة للباحثين إمكانية طلب جزء من مصادر المعلومات الرقمية بما لا يتجاوز النسبة النظامية"/>
    <x v="1"/>
  </r>
  <r>
    <x v="8"/>
    <n v="478"/>
    <s v="https://kfnl.gov.sa/Ar/EServices/wfs/Pages/131.aspx"/>
    <s v="تتيح هذه الخدمة للباحثين إمكانية حجز الخلوات البحثية، وهي عبارة عن غرف مغلقة، تتيح للمستفيد التواجد في مكان أكثر هدوء وخصوصية"/>
    <x v="3"/>
  </r>
  <r>
    <x v="9"/>
    <n v="70"/>
    <s v="https://kfnl.gov.sa/Ar/EServices/wfs/Pages/VisitLetter.aspx"/>
    <s v="تتيح هذه الخدمة تقديم خطاب &quot; افادة حضور&quot; الكتروني، يفيد بزيارة المستفيد للمكتبة"/>
    <x v="3"/>
  </r>
  <r>
    <x v="10"/>
    <n v="112"/>
    <s v="https://kfnl.gov.sa/Ar/EServices/wfs/Pages/11.aspx"/>
    <s v="تتيح هذه الخدمة للباحثين إمكانية طلب مخطوطة او كتاب نادر للقراءة أو التصوير لأغراض بحثية"/>
    <x v="1"/>
  </r>
  <r>
    <x v="11"/>
    <n v="114"/>
    <s v="https://kfnl.gov.sa/Ar/EServices/wfs/Pages/24.aspx"/>
    <s v="تتيح هذه الخدمة للباحثين إمكانية طلب خدمة وثائق تاريخية. كما تتيح للجهات الحكومية (خصوصا مراكز الوثائق) إمكانية إرسال طلب معلومات (طلب إفادة) عن وثائق تاريخية أو إبلاغ المكتبة عن أمر يتعلق بوثائق إلكترونية (مثلاً: إبلاغ عن فقدان أو سرقة وثائق، أو الإبلاغ عن أن مركز الوثائق في طور شراء وثيقة معينة)"/>
    <x v="4"/>
  </r>
  <r>
    <x v="12"/>
    <n v="33"/>
    <s v="https://kfnl.gov.sa/Ar/EServices/wfs/Pages/12.aspx"/>
    <s v="تتيح هذه الخدمة للمستفيدين إمكانية طلب صور تاريخية تتعلق بشخصيات بارزة أو مواقع جغرافية أو مناسبات لأغراض بحثية"/>
    <x v="4"/>
  </r>
  <r>
    <x v="13"/>
    <n v="104"/>
    <s v="https://kfnl.gov.sa/Ar/EServices/wfs/Pages/29.aspx"/>
    <s v="هي خدمة تتيح للباحثين طلب نشر مقالة علمية محكمة في مجلة مكتبة الملك فهد الوطنية، وهي مجلة علميّة محكّمة نصف سنوية تصدر تحت إشر​اف اللجنة العلمية للمكتبة، تُعنى بنشر البحوث والدراسات في إطار المكتبات وتقنية المعلومات، ومصادر تاريخ المملكة العربية السعودية"/>
    <x v="2"/>
  </r>
  <r>
    <x v="14"/>
    <n v="21"/>
    <s v="https://kfnl.gov.sa/Ar/EServices/wfs/Pages/127.aspx"/>
    <s v="تهدف هذه الخدمة إلى تمكين المؤلف من نشر كتبه ومؤلفاته ضمن إصدارات مكتبة الملك فهد الوطنية على أن تتولى المكتبة طباعة العمل"/>
    <x v="2"/>
  </r>
  <r>
    <x v="15"/>
    <n v="84"/>
    <s v="https://kfnl.gov.sa/Ar/EServices/wfs/Pages/31.aspx"/>
    <s v="تتيح هذه الخدمة للجهات الرسمية تقديم طلب رسمي لزيارة المكتبة"/>
    <x v="3"/>
  </r>
  <r>
    <x v="16"/>
    <n v="36"/>
    <s v="https://kfnl.gov.sa/Ar/EServices/wfs/Pages/32.aspx"/>
    <s v="تتيح هذه الخدمة للمستفيدين إمكانية طلب إضافة بيانات تعريفية بمؤلف سعودي إلى القائمة الاستنادية بالمؤلفين السعوديين التي تصدرها المكتبة"/>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x v="0"/>
    <s v="Riyadh"/>
    <s v="اليوم العالمي للغة برايل/ تصميم بوستر اعلاني عن هذا اليوم إقامة معرض في البهو بالكتب الموجودة في المكتبة بتقنية برايل،تجربة اثرائية للزوار في بهو المكتبة لتجربة الكتب"/>
    <x v="0"/>
    <x v="0"/>
    <n v="1"/>
    <d v="2024-01-01T00:00:00"/>
    <d v="2024-01-01T00:00:00"/>
  </r>
  <r>
    <x v="0"/>
    <s v="Riyadh"/>
    <s v="اليوم العالمي للتعليم/ معرض للصور وأدوات التعليم بالمخطوطات وعرض مناهج التعليم لمدة أسبوع"/>
    <x v="0"/>
    <x v="0"/>
    <n v="7"/>
    <d v="2024-01-24T00:00:00"/>
    <d v="2024-01-30T00:00:00"/>
  </r>
  <r>
    <x v="0"/>
    <s v="Riyadh"/>
    <s v="الاحتفاء بيوم التأسيس/ معرض صور ومخطوطات ومحاضرة بالتعاون مع بوابة الدرعية"/>
    <x v="1"/>
    <x v="0"/>
    <n v="1"/>
    <d v="2024-02-22T00:00:00"/>
    <d v="2024-02-22T00:00:00"/>
  </r>
  <r>
    <x v="0"/>
    <s v="Riyadh"/>
    <s v="اليوم العالمي للمرأة/ تصميم إنفوجرافيك يعرض على الشاشات"/>
    <x v="0"/>
    <x v="0"/>
    <n v="1"/>
    <d v="2024-03-08T00:00:00"/>
    <d v="2024-03-08T00:00:00"/>
  </r>
  <r>
    <x v="1"/>
    <s v="Riyadh"/>
    <s v="يوم المخطوطات العربية/ محاضرة عامة"/>
    <x v="0"/>
    <x v="0"/>
    <n v="1"/>
    <d v="2024-04-04T00:00:00"/>
    <d v="2024-04-04T00:00:00"/>
  </r>
  <r>
    <x v="1"/>
    <s v="Riyadh"/>
    <s v="اليوم العالمي للمخطوطات - محاضرة &quot;تراثنا المخطوط ومقومات التواصل الحضاري&quot;"/>
    <x v="0"/>
    <x v="0"/>
    <n v="1"/>
    <d v="2024-04-30T00:00:00"/>
    <d v="2024-04-30T00:00:00"/>
  </r>
  <r>
    <x v="1"/>
    <s v="Riyadh"/>
    <s v="ميدياثون الحج و العمرة "/>
    <x v="0"/>
    <x v="0"/>
    <n v="1"/>
    <d v="2024-05-07T00:00:00"/>
    <d v="2024-05-07T00:00:00"/>
  </r>
  <r>
    <x v="1"/>
    <s v="Riyadh"/>
    <s v="حديث المكتبة &quot;رحلة عبر آفاق التقنية&quot; مارك قيتي"/>
    <x v="0"/>
    <x v="0"/>
    <n v="1"/>
    <d v="2024-05-29T00:00:00"/>
    <d v="2024-05-29T00:00:00"/>
  </r>
  <r>
    <x v="1"/>
    <s v="Riyadh"/>
    <s v="ملتقى حقوق المؤلف "/>
    <x v="0"/>
    <x v="0"/>
    <n v="2"/>
    <d v="2024-06-05T00:00:00"/>
    <d v="2024-06-06T00:00:00"/>
  </r>
  <r>
    <x v="2"/>
    <s v="Riyadh"/>
    <s v="حديث المكتبة &quot;مسارات التجربة وهموم الترجمة&quot;"/>
    <x v="0"/>
    <x v="0"/>
    <n v="1"/>
    <d v="2024-08-21T00:00:00"/>
    <d v="2024-08-21T00:00:00"/>
  </r>
  <r>
    <x v="2"/>
    <s v="Riyadh"/>
    <s v="حفل اليوم الوطني (للموظفين)"/>
    <x v="1"/>
    <x v="0"/>
    <n v="1"/>
    <d v="2024-09-23T00:00:00"/>
    <d v="2024-09-23T00:00:00"/>
  </r>
  <r>
    <x v="2"/>
    <s v="Riyadh"/>
    <s v="استضافة معرض التعليم آرت لمدة 5 أيام"/>
    <x v="0"/>
    <x v="0"/>
    <n v="5"/>
    <d v="2024-09-25T00:00:00"/>
    <d v="2024-09-29T00:00:00"/>
  </r>
  <r>
    <x v="3"/>
    <s v="Riyadh"/>
    <s v="معرض الرياض الدولي للكتاب"/>
    <x v="0"/>
    <x v="1"/>
    <n v="10"/>
    <d v="2024-09-26T00:00:00"/>
    <d v="2024-10-05T00:00:00"/>
  </r>
  <r>
    <x v="3"/>
    <s v="Riyadh"/>
    <s v="اليوم العالمي للقهوة / مشاركة الموظفين باستضافة قهوة هاف مليون"/>
    <x v="1"/>
    <x v="0"/>
    <n v="1"/>
    <d v="2024-10-01T00:00:00"/>
    <d v="2024-10-01T00:00:00"/>
  </r>
  <r>
    <x v="3"/>
    <s v="Riyadh"/>
    <s v="حديث المكتبة &quot;أحداث دمشق مذبحة1860 ونهاية العالم العثماني القديم&quot;"/>
    <x v="0"/>
    <x v="0"/>
    <n v="1"/>
    <d v="2024-10-01T00:00:00"/>
    <d v="2024-10-01T00:00:00"/>
  </r>
  <r>
    <x v="3"/>
    <s v="Riyadh"/>
    <s v="مؤتمر رحلة التعلم"/>
    <x v="0"/>
    <x v="2"/>
    <n v="2"/>
    <d v="2024-10-06T00:00:00"/>
    <d v="2024-10-07T00:00:00"/>
  </r>
  <r>
    <x v="3"/>
    <s v="Riyadh"/>
    <s v="فعالية &quot;لنمرح معاً&quot; مركز أسرار المعارف للتدريب"/>
    <x v="0"/>
    <x v="0"/>
    <n v="1"/>
    <d v="2024-10-08T00:00:00"/>
    <d v="2024-10-08T00:00:00"/>
  </r>
  <r>
    <x v="3"/>
    <s v="Riyadh"/>
    <s v="حديث المكتبة &quot;مطالعات ...&quot; مع الدكتور نزار مدني"/>
    <x v="0"/>
    <x v="0"/>
    <n v="1"/>
    <d v="2024-11-07T00:00:00"/>
    <d v="2024-11-07T00:00:00"/>
  </r>
  <r>
    <x v="3"/>
    <s v="Riyadh"/>
    <s v="المشاركة في معرض المخطوطات السعودي "/>
    <x v="0"/>
    <x v="3"/>
    <n v="10"/>
    <d v="2024-11-28T00:00:00"/>
    <d v="2024-12-07T00:00:00"/>
  </r>
  <r>
    <x v="3"/>
    <s v="Riyadh"/>
    <s v="اليوم العالمي لذوي الإعاقة/ استضافة جمعية ذوي الاحتياجات بحديقة المكتبة"/>
    <x v="0"/>
    <x v="0"/>
    <n v="1"/>
    <d v="2024-12-03T00:00:00"/>
    <d v="2024-12-03T00:00:00"/>
  </r>
  <r>
    <x v="3"/>
    <s v="Riyadh"/>
    <s v="مؤتمر الرياض الدولي للفلسفة"/>
    <x v="0"/>
    <x v="0"/>
    <n v="3"/>
    <d v="2024-12-05T00:00:00"/>
    <d v="2024-12-07T00:00:00"/>
  </r>
  <r>
    <x v="3"/>
    <s v="Riyadh"/>
    <s v="حديث المكتبة &quot;الكتابات العربية القديمة في الجزيرة العربية&quot;"/>
    <x v="0"/>
    <x v="0"/>
    <n v="1"/>
    <d v="2024-12-17T00:00:00"/>
    <d v="2024-12-17T00:00:00"/>
  </r>
  <r>
    <x v="3"/>
    <s v="Qassim"/>
    <s v="الملتقى الأول للعناية بالمكتبات الخاصة"/>
    <x v="0"/>
    <x v="4"/>
    <n v="1"/>
    <d v="2024-12-18T00:00:00"/>
    <d v="2024-12-1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3559BF-90C8-4E09-9075-F62811A411D0}" name="PivotTable4" cacheId="5"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26">
  <location ref="B52:E59" firstHeaderRow="1" firstDataRow="2" firstDataCol="1"/>
  <pivotFields count="3">
    <pivotField axis="axisRow" compact="0" outline="0" showAll="0" sortType="descending">
      <items count="6">
        <item n="Reference services " x="0"/>
        <item n="Electronic Services" x="2"/>
        <item n="Library's working hours" x="3"/>
        <item n="Staff Conduct" x="1"/>
        <item n="Library Environment" x="4"/>
        <item t="default"/>
      </items>
      <autoSortScope>
        <pivotArea dataOnly="0" outline="0" fieldPosition="0">
          <references count="1">
            <reference field="4294967294" count="1" selected="0">
              <x v="0"/>
            </reference>
          </references>
        </pivotArea>
      </autoSortScope>
    </pivotField>
    <pivotField name="       " axis="axisCol" compact="0" outline="0" showAll="0" sortType="descending">
      <items count="4">
        <item x="0"/>
        <item x="1"/>
        <item x="2"/>
        <item t="default"/>
      </items>
    </pivotField>
    <pivotField dataField="1" compact="0" outline="0" showAll="0"/>
  </pivotFields>
  <rowFields count="1">
    <field x="0"/>
  </rowFields>
  <rowItems count="6">
    <i>
      <x v="3"/>
    </i>
    <i>
      <x/>
    </i>
    <i>
      <x v="4"/>
    </i>
    <i>
      <x v="1"/>
    </i>
    <i>
      <x v="2"/>
    </i>
    <i t="grand">
      <x/>
    </i>
  </rowItems>
  <colFields count="1">
    <field x="1"/>
  </colFields>
  <colItems count="3">
    <i>
      <x/>
    </i>
    <i>
      <x v="1"/>
    </i>
    <i>
      <x v="2"/>
    </i>
  </colItems>
  <dataFields count="1">
    <dataField name="     " fld="2" showDataAs="percentOfRow" baseField="0" baseItem="0" numFmtId="10"/>
  </dataFields>
  <formats count="15">
    <format dxfId="68">
      <pivotArea dataOnly="0" labelOnly="1" outline="0" fieldPosition="0">
        <references count="1">
          <reference field="0" count="1">
            <x v="0"/>
          </reference>
        </references>
      </pivotArea>
    </format>
    <format dxfId="67">
      <pivotArea dataOnly="0" labelOnly="1" outline="0" fieldPosition="0">
        <references count="1">
          <reference field="0" count="1">
            <x v="4"/>
          </reference>
        </references>
      </pivotArea>
    </format>
    <format dxfId="66">
      <pivotArea type="all" dataOnly="0" outline="0" fieldPosition="0"/>
    </format>
    <format dxfId="65">
      <pivotArea outline="0" collapsedLevelsAreSubtotals="1" fieldPosition="0"/>
    </format>
    <format dxfId="64">
      <pivotArea dataOnly="0" labelOnly="1" outline="0" fieldPosition="0">
        <references count="1">
          <reference field="0" count="0"/>
        </references>
      </pivotArea>
    </format>
    <format dxfId="63">
      <pivotArea dataOnly="0" labelOnly="1" grandRow="1" outline="0" fieldPosition="0"/>
    </format>
    <format dxfId="62">
      <pivotArea type="all" dataOnly="0" outline="0" fieldPosition="0"/>
    </format>
    <format dxfId="61">
      <pivotArea outline="0" collapsedLevelsAreSubtotals="1" fieldPosition="0"/>
    </format>
    <format dxfId="60">
      <pivotArea dataOnly="0" labelOnly="1" outline="0" fieldPosition="0">
        <references count="1">
          <reference field="0" count="0"/>
        </references>
      </pivotArea>
    </format>
    <format dxfId="59">
      <pivotArea dataOnly="0" labelOnly="1" grandRow="1" outline="0" fieldPosition="0"/>
    </format>
    <format dxfId="58">
      <pivotArea type="origin" dataOnly="0" labelOnly="1" outline="0" fieldPosition="0"/>
    </format>
    <format dxfId="57">
      <pivotArea field="1" type="button" dataOnly="0" labelOnly="1" outline="0" axis="axisCol" fieldPosition="0"/>
    </format>
    <format dxfId="56">
      <pivotArea type="topRight" dataOnly="0" labelOnly="1" outline="0" fieldPosition="0"/>
    </format>
    <format dxfId="55">
      <pivotArea field="0" type="button" dataOnly="0" labelOnly="1" outline="0" axis="axisRow" fieldPosition="0"/>
    </format>
    <format dxfId="54">
      <pivotArea dataOnly="0" labelOnly="1" outline="0" fieldPosition="0">
        <references count="1">
          <reference field="1" count="0"/>
        </references>
      </pivotArea>
    </format>
  </formats>
  <chartFormats count="26">
    <chartFormat chart="1" format="3" series="1">
      <pivotArea type="data" outline="0" fieldPosition="0">
        <references count="2">
          <reference field="4294967294" count="1" selected="0">
            <x v="0"/>
          </reference>
          <reference field="1" count="1" selected="0">
            <x v="0"/>
          </reference>
        </references>
      </pivotArea>
    </chartFormat>
    <chartFormat chart="1" format="4" series="1">
      <pivotArea type="data" outline="0" fieldPosition="0">
        <references count="2">
          <reference field="4294967294" count="1" selected="0">
            <x v="0"/>
          </reference>
          <reference field="1" count="1" selected="0">
            <x v="1"/>
          </reference>
        </references>
      </pivotArea>
    </chartFormat>
    <chartFormat chart="1" format="5" series="1">
      <pivotArea type="data" outline="0" fieldPosition="0">
        <references count="2">
          <reference field="4294967294" count="1" selected="0">
            <x v="0"/>
          </reference>
          <reference field="1" count="1" selected="0">
            <x v="2"/>
          </reference>
        </references>
      </pivotArea>
    </chartFormat>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 chart="3" format="9" series="1">
      <pivotArea type="data" outline="0" fieldPosition="0">
        <references count="2">
          <reference field="4294967294" count="1" selected="0">
            <x v="0"/>
          </reference>
          <reference field="1" count="1" selected="0">
            <x v="0"/>
          </reference>
        </references>
      </pivotArea>
    </chartFormat>
    <chartFormat chart="3" format="10" series="1">
      <pivotArea type="data" outline="0" fieldPosition="0">
        <references count="2">
          <reference field="4294967294" count="1" selected="0">
            <x v="0"/>
          </reference>
          <reference field="1" count="1" selected="0">
            <x v="1"/>
          </reference>
        </references>
      </pivotArea>
    </chartFormat>
    <chartFormat chart="3" format="11" series="1">
      <pivotArea type="data" outline="0" fieldPosition="0">
        <references count="2">
          <reference field="4294967294" count="1" selected="0">
            <x v="0"/>
          </reference>
          <reference field="1" count="1" selected="0">
            <x v="2"/>
          </reference>
        </references>
      </pivotArea>
    </chartFormat>
    <chartFormat chart="6" format="3" series="1">
      <pivotArea type="data" outline="0" fieldPosition="0">
        <references count="2">
          <reference field="4294967294" count="1" selected="0">
            <x v="0"/>
          </reference>
          <reference field="1" count="1" selected="0">
            <x v="0"/>
          </reference>
        </references>
      </pivotArea>
    </chartFormat>
    <chartFormat chart="6" format="4" series="1">
      <pivotArea type="data" outline="0" fieldPosition="0">
        <references count="2">
          <reference field="4294967294" count="1" selected="0">
            <x v="0"/>
          </reference>
          <reference field="1" count="1" selected="0">
            <x v="1"/>
          </reference>
        </references>
      </pivotArea>
    </chartFormat>
    <chartFormat chart="6" format="5" series="1">
      <pivotArea type="data" outline="0" fieldPosition="0">
        <references count="2">
          <reference field="4294967294" count="1" selected="0">
            <x v="0"/>
          </reference>
          <reference field="1" count="1" selected="0">
            <x v="2"/>
          </reference>
        </references>
      </pivotArea>
    </chartFormat>
    <chartFormat chart="7" format="6" series="1">
      <pivotArea type="data" outline="0" fieldPosition="0">
        <references count="2">
          <reference field="4294967294" count="1" selected="0">
            <x v="0"/>
          </reference>
          <reference field="1" count="1" selected="0">
            <x v="0"/>
          </reference>
        </references>
      </pivotArea>
    </chartFormat>
    <chartFormat chart="7" format="7" series="1">
      <pivotArea type="data" outline="0" fieldPosition="0">
        <references count="2">
          <reference field="4294967294" count="1" selected="0">
            <x v="0"/>
          </reference>
          <reference field="1" count="1" selected="0">
            <x v="1"/>
          </reference>
        </references>
      </pivotArea>
    </chartFormat>
    <chartFormat chart="7" format="8" series="1">
      <pivotArea type="data" outline="0" fieldPosition="0">
        <references count="2">
          <reference field="4294967294" count="1" selected="0">
            <x v="0"/>
          </reference>
          <reference field="1" count="1" selected="0">
            <x v="2"/>
          </reference>
        </references>
      </pivotArea>
    </chartFormat>
    <chartFormat chart="8" format="9" series="1">
      <pivotArea type="data" outline="0" fieldPosition="0">
        <references count="2">
          <reference field="4294967294" count="1" selected="0">
            <x v="0"/>
          </reference>
          <reference field="1" count="1" selected="0">
            <x v="0"/>
          </reference>
        </references>
      </pivotArea>
    </chartFormat>
    <chartFormat chart="8" format="10" series="1">
      <pivotArea type="data" outline="0" fieldPosition="0">
        <references count="2">
          <reference field="4294967294" count="1" selected="0">
            <x v="0"/>
          </reference>
          <reference field="1" count="1" selected="0">
            <x v="1"/>
          </reference>
        </references>
      </pivotArea>
    </chartFormat>
    <chartFormat chart="8" format="11" series="1">
      <pivotArea type="data" outline="0" fieldPosition="0">
        <references count="2">
          <reference field="4294967294" count="1" selected="0">
            <x v="0"/>
          </reference>
          <reference field="1" count="1" selected="0">
            <x v="2"/>
          </reference>
        </references>
      </pivotArea>
    </chartFormat>
    <chartFormat chart="5" format="3" series="1">
      <pivotArea type="data" outline="0" fieldPosition="0">
        <references count="2">
          <reference field="4294967294" count="1" selected="0">
            <x v="0"/>
          </reference>
          <reference field="1" count="1" selected="0">
            <x v="0"/>
          </reference>
        </references>
      </pivotArea>
    </chartFormat>
    <chartFormat chart="5" format="4" series="1">
      <pivotArea type="data" outline="0" fieldPosition="0">
        <references count="2">
          <reference field="4294967294" count="1" selected="0">
            <x v="0"/>
          </reference>
          <reference field="1" count="1" selected="0">
            <x v="1"/>
          </reference>
        </references>
      </pivotArea>
    </chartFormat>
    <chartFormat chart="5" format="5" series="1">
      <pivotArea type="data" outline="0" fieldPosition="0">
        <references count="2">
          <reference field="4294967294" count="1" selected="0">
            <x v="0"/>
          </reference>
          <reference field="1" count="1" selected="0">
            <x v="2"/>
          </reference>
        </references>
      </pivotArea>
    </chartFormat>
    <chartFormat chart="11" format="18" series="1">
      <pivotArea type="data" outline="0" fieldPosition="0">
        <references count="2">
          <reference field="4294967294" count="1" selected="0">
            <x v="0"/>
          </reference>
          <reference field="1" count="1" selected="0">
            <x v="0"/>
          </reference>
        </references>
      </pivotArea>
    </chartFormat>
    <chartFormat chart="11" format="19" series="1">
      <pivotArea type="data" outline="0" fieldPosition="0">
        <references count="2">
          <reference field="4294967294" count="1" selected="0">
            <x v="0"/>
          </reference>
          <reference field="1" count="1" selected="0">
            <x v="1"/>
          </reference>
        </references>
      </pivotArea>
    </chartFormat>
    <chartFormat chart="11" format="20" series="1">
      <pivotArea type="data" outline="0" fieldPosition="0">
        <references count="2">
          <reference field="4294967294" count="1" selected="0">
            <x v="0"/>
          </reference>
          <reference field="1" count="1" selected="0">
            <x v="2"/>
          </reference>
        </references>
      </pivotArea>
    </chartFormat>
    <chartFormat chart="11" format="21">
      <pivotArea type="data" outline="0" fieldPosition="0">
        <references count="3">
          <reference field="4294967294" count="1" selected="0">
            <x v="0"/>
          </reference>
          <reference field="0" count="1" selected="0">
            <x v="4"/>
          </reference>
          <reference field="1" count="1" selected="0">
            <x v="1"/>
          </reference>
        </references>
      </pivotArea>
    </chartFormat>
    <chartFormat chart="11" format="22">
      <pivotArea type="data" outline="0" fieldPosition="0">
        <references count="3">
          <reference field="4294967294" count="1" selected="0">
            <x v="0"/>
          </reference>
          <reference field="0" count="1" selected="0">
            <x v="3"/>
          </reference>
          <reference field="1"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75B47D-D6CA-4A45-B2EF-781C8436938D}" name="PivotTable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6:B47" firstHeaderRow="1" firstDataRow="1" firstDataCol="0"/>
  <pivotFields count="5">
    <pivotField dataField="1" showAll="0">
      <items count="18">
        <item x="3"/>
        <item x="9"/>
        <item x="7"/>
        <item x="5"/>
        <item x="11"/>
        <item x="12"/>
        <item x="13"/>
        <item x="10"/>
        <item x="2"/>
        <item x="15"/>
        <item x="1"/>
        <item x="0"/>
        <item x="8"/>
        <item x="4"/>
        <item x="16"/>
        <item x="14"/>
        <item x="6"/>
        <item t="default"/>
      </items>
    </pivotField>
    <pivotField showAll="0"/>
    <pivotField showAll="0"/>
    <pivotField showAll="0"/>
    <pivotField showAll="0"/>
  </pivotFields>
  <rowItems count="1">
    <i/>
  </rowItems>
  <colItems count="1">
    <i/>
  </colItems>
  <dataFields count="1">
    <dataField name="# of E-services" fld="0" subtotal="count" baseField="0" baseItem="0"/>
  </dataFields>
  <formats count="6">
    <format dxfId="74">
      <pivotArea dataOnly="0" outline="0" axis="axisValues" fieldPosition="0"/>
    </format>
    <format dxfId="73">
      <pivotArea type="all" dataOnly="0" outline="0" fieldPosition="0"/>
    </format>
    <format dxfId="72">
      <pivotArea outline="0" collapsedLevelsAreSubtotals="1" fieldPosition="0"/>
    </format>
    <format dxfId="71">
      <pivotArea type="all" dataOnly="0" outline="0" fieldPosition="0"/>
    </format>
    <format dxfId="70">
      <pivotArea outline="0" collapsedLevelsAreSubtotals="1" fieldPosition="0"/>
    </format>
    <format dxfId="69">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AC4A6E-0E1F-4ECE-A906-7BD94C0A7181}" name="PivotTable1" cacheId="4" applyNumberFormats="0" applyBorderFormats="0" applyFontFormats="0" applyPatternFormats="0" applyAlignmentFormats="0" applyWidthHeightFormats="1" dataCaption="Values" updatedVersion="7" minRefreshableVersion="3" useAutoFormatting="1" itemPrintTitles="1" createdVersion="8" indent="0" compact="0" compactData="0" multipleFieldFilters="0" chartFormat="60">
  <location ref="B20:C33" firstHeaderRow="1" firstDataRow="1" firstDataCol="1"/>
  <pivotFields count="7">
    <pivotField compact="0" outline="0" multipleItemSelectionAllowed="1" showAll="0" sortType="ascending">
      <items count="5">
        <item x="0"/>
        <item x="1"/>
        <item x="2"/>
        <item x="3"/>
        <item t="default"/>
      </items>
    </pivotField>
    <pivotField axis="axisRow" compact="0" outline="0" showAll="0">
      <items count="13">
        <item n="Jan" x="0"/>
        <item n="Feb" x="1"/>
        <item n="Mar" x="2"/>
        <item n="Apr" x="3"/>
        <item x="4"/>
        <item n="Jun" x="5"/>
        <item n="Jul" x="6"/>
        <item n="Aug" x="7"/>
        <item n="Sep" x="8"/>
        <item n="Oct" x="9"/>
        <item n="Nov" x="10"/>
        <item n="Dec" x="11"/>
        <item t="default"/>
      </items>
    </pivotField>
    <pivotField compact="0" numFmtId="14" outline="0" showAll="0"/>
    <pivotField compact="0" outline="0" showAll="0"/>
    <pivotField compact="0" outline="0" showAll="0"/>
    <pivotField compact="0" outline="0" showAll="0"/>
    <pivotField dataField="1" compact="0" outline="0" showAll="0"/>
  </pivotFields>
  <rowFields count="1">
    <field x="1"/>
  </rowFields>
  <rowItems count="13">
    <i>
      <x/>
    </i>
    <i>
      <x v="1"/>
    </i>
    <i>
      <x v="2"/>
    </i>
    <i>
      <x v="3"/>
    </i>
    <i>
      <x v="4"/>
    </i>
    <i>
      <x v="5"/>
    </i>
    <i>
      <x v="6"/>
    </i>
    <i>
      <x v="7"/>
    </i>
    <i>
      <x v="8"/>
    </i>
    <i>
      <x v="9"/>
    </i>
    <i>
      <x v="10"/>
    </i>
    <i>
      <x v="11"/>
    </i>
    <i t="grand">
      <x/>
    </i>
  </rowItems>
  <colItems count="1">
    <i/>
  </colItems>
  <dataFields count="1">
    <dataField name="total visitors" fld="6" baseField="0" baseItem="0" numFmtId="164"/>
  </dataFields>
  <formats count="20">
    <format dxfId="94">
      <pivotArea type="all" dataOnly="0" outline="0" fieldPosition="0"/>
    </format>
    <format dxfId="93">
      <pivotArea outline="0" collapsedLevelsAreSubtotals="1" fieldPosition="0"/>
    </format>
    <format dxfId="92">
      <pivotArea field="0" type="button" dataOnly="0" labelOnly="1" outline="0"/>
    </format>
    <format dxfId="91">
      <pivotArea dataOnly="0" labelOnly="1" grandRow="1" outline="0" fieldPosition="0"/>
    </format>
    <format dxfId="90">
      <pivotArea outline="0" collapsedLevelsAreSubtotals="1" fieldPosition="0"/>
    </format>
    <format dxfId="89">
      <pivotArea grandRow="1" outline="0" collapsedLevelsAreSubtotals="1" fieldPosition="0"/>
    </format>
    <format dxfId="88">
      <pivotArea dataOnly="0" labelOnly="1" outline="0" fieldPosition="0">
        <references count="1">
          <reference field="1" count="0"/>
        </references>
      </pivotArea>
    </format>
    <format dxfId="87">
      <pivotArea outline="0" fieldPosition="0">
        <references count="1">
          <reference field="1" count="0" selected="0"/>
        </references>
      </pivotArea>
    </format>
    <format dxfId="86">
      <pivotArea type="all" dataOnly="0" outline="0" fieldPosition="0"/>
    </format>
    <format dxfId="85">
      <pivotArea outline="0" collapsedLevelsAreSubtotals="1" fieldPosition="0"/>
    </format>
    <format dxfId="84">
      <pivotArea dataOnly="0" labelOnly="1" outline="0" fieldPosition="0">
        <references count="1">
          <reference field="1" count="0"/>
        </references>
      </pivotArea>
    </format>
    <format dxfId="83">
      <pivotArea dataOnly="0" labelOnly="1" grandRow="1" outline="0" fieldPosition="0"/>
    </format>
    <format dxfId="82">
      <pivotArea type="all" dataOnly="0" outline="0" fieldPosition="0"/>
    </format>
    <format dxfId="81">
      <pivotArea outline="0" collapsedLevelsAreSubtotals="1" fieldPosition="0"/>
    </format>
    <format dxfId="80">
      <pivotArea dataOnly="0" labelOnly="1" outline="0" fieldPosition="0">
        <references count="1">
          <reference field="1" count="0"/>
        </references>
      </pivotArea>
    </format>
    <format dxfId="79">
      <pivotArea dataOnly="0" labelOnly="1" grandRow="1" outline="0" fieldPosition="0"/>
    </format>
    <format dxfId="78">
      <pivotArea outline="0" fieldPosition="0">
        <references count="1">
          <reference field="1" count="0" selected="0"/>
        </references>
      </pivotArea>
    </format>
    <format dxfId="77">
      <pivotArea outline="0" fieldPosition="0">
        <references count="1">
          <reference field="1" count="1" selected="0">
            <x v="0"/>
          </reference>
        </references>
      </pivotArea>
    </format>
    <format dxfId="76">
      <pivotArea field="1" type="button" dataOnly="0" labelOnly="1" outline="0" axis="axisRow" fieldPosition="0"/>
    </format>
    <format dxfId="75">
      <pivotArea dataOnly="0" labelOnly="1" outline="0" axis="axisValues" fieldPosition="0"/>
    </format>
  </formats>
  <chartFormats count="27">
    <chartFormat chart="4"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 chart="8"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0"/>
          </reference>
        </references>
      </pivotArea>
    </chartFormat>
    <chartFormat chart="11" format="11" series="1">
      <pivotArea type="data" outline="0" fieldPosition="0">
        <references count="1">
          <reference field="4294967294" count="1" selected="0">
            <x v="0"/>
          </reference>
        </references>
      </pivotArea>
    </chartFormat>
    <chartFormat chart="12" format="8" series="1">
      <pivotArea type="data" outline="0" fieldPosition="0">
        <references count="1">
          <reference field="4294967294" count="1" selected="0">
            <x v="0"/>
          </reference>
        </references>
      </pivotArea>
    </chartFormat>
    <chartFormat chart="13" format="9" series="1">
      <pivotArea type="data" outline="0" fieldPosition="0">
        <references count="1">
          <reference field="4294967294" count="1" selected="0">
            <x v="0"/>
          </reference>
        </references>
      </pivotArea>
    </chartFormat>
    <chartFormat chart="14" format="10"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 chart="17" format="13"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 chart="30" format="15">
      <pivotArea type="data" outline="0" fieldPosition="0">
        <references count="2">
          <reference field="4294967294" count="1" selected="0">
            <x v="0"/>
          </reference>
          <reference field="1" count="1" selected="0">
            <x v="0"/>
          </reference>
        </references>
      </pivotArea>
    </chartFormat>
    <chartFormat chart="30" format="16">
      <pivotArea type="data" outline="0" fieldPosition="0">
        <references count="2">
          <reference field="4294967294" count="1" selected="0">
            <x v="0"/>
          </reference>
          <reference field="1" count="1" selected="0">
            <x v="1"/>
          </reference>
        </references>
      </pivotArea>
    </chartFormat>
    <chartFormat chart="30" format="17">
      <pivotArea type="data" outline="0" fieldPosition="0">
        <references count="2">
          <reference field="4294967294" count="1" selected="0">
            <x v="0"/>
          </reference>
          <reference field="1" count="1" selected="0">
            <x v="5"/>
          </reference>
        </references>
      </pivotArea>
    </chartFormat>
    <chartFormat chart="30" format="18">
      <pivotArea type="data" outline="0" fieldPosition="0">
        <references count="2">
          <reference field="4294967294" count="1" selected="0">
            <x v="0"/>
          </reference>
          <reference field="1" count="1" selected="0">
            <x v="2"/>
          </reference>
        </references>
      </pivotArea>
    </chartFormat>
    <chartFormat chart="30" format="19">
      <pivotArea type="data" outline="0" fieldPosition="0">
        <references count="2">
          <reference field="4294967294" count="1" selected="0">
            <x v="0"/>
          </reference>
          <reference field="1" count="1" selected="0">
            <x v="7"/>
          </reference>
        </references>
      </pivotArea>
    </chartFormat>
    <chartFormat chart="30" format="20">
      <pivotArea type="data" outline="0" fieldPosition="0">
        <references count="2">
          <reference field="4294967294" count="1" selected="0">
            <x v="0"/>
          </reference>
          <reference field="1" count="1" selected="0">
            <x v="9"/>
          </reference>
        </references>
      </pivotArea>
    </chartFormat>
    <chartFormat chart="30" format="21">
      <pivotArea type="data" outline="0" fieldPosition="0">
        <references count="2">
          <reference field="4294967294" count="1" selected="0">
            <x v="0"/>
          </reference>
          <reference field="1" count="1" selected="0">
            <x v="10"/>
          </reference>
        </references>
      </pivotArea>
    </chartFormat>
    <chartFormat chart="30" format="22">
      <pivotArea type="data" outline="0" fieldPosition="0">
        <references count="2">
          <reference field="4294967294" count="1" selected="0">
            <x v="0"/>
          </reference>
          <reference field="1" count="1" selected="0">
            <x v="11"/>
          </reference>
        </references>
      </pivotArea>
    </chartFormat>
    <chartFormat chart="30" format="23">
      <pivotArea type="data" outline="0" fieldPosition="0">
        <references count="2">
          <reference field="4294967294" count="1" selected="0">
            <x v="0"/>
          </reference>
          <reference field="1" count="1" selected="0">
            <x v="8"/>
          </reference>
        </references>
      </pivotArea>
    </chartFormat>
    <chartFormat chart="30" format="24">
      <pivotArea type="data" outline="0" fieldPosition="0">
        <references count="2">
          <reference field="4294967294" count="1" selected="0">
            <x v="0"/>
          </reference>
          <reference field="1" count="1" selected="0">
            <x v="6"/>
          </reference>
        </references>
      </pivotArea>
    </chartFormat>
    <chartFormat chart="30" format="25">
      <pivotArea type="data" outline="0" fieldPosition="0">
        <references count="2">
          <reference field="4294967294" count="1" selected="0">
            <x v="0"/>
          </reference>
          <reference field="1" count="1" selected="0">
            <x v="4"/>
          </reference>
        </references>
      </pivotArea>
    </chartFormat>
    <chartFormat chart="30" format="26">
      <pivotArea type="data" outline="0" fieldPosition="0">
        <references count="2">
          <reference field="4294967294" count="1" selected="0">
            <x v="0"/>
          </reference>
          <reference field="1"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0A6F15-8BD3-41CE-BD08-280441EB14C1}" name="PivotTable2" cacheId="4" applyNumberFormats="0" applyBorderFormats="0" applyFontFormats="0" applyPatternFormats="0" applyAlignmentFormats="0" applyWidthHeightFormats="1" dataCaption="Values" updatedVersion="7" minRefreshableVersion="3" useAutoFormatting="1" itemPrintTitles="1" createdVersion="8" indent="0" compact="0" compactData="0" multipleFieldFilters="0" chartFormat="34">
  <location ref="B12:J18" firstHeaderRow="1" firstDataRow="2" firstDataCol="1"/>
  <pivotFields count="7">
    <pivotField axis="axisRow" compact="0" outline="0" showAll="0">
      <items count="5">
        <item x="0"/>
        <item x="1"/>
        <item x="2"/>
        <item x="3"/>
        <item t="default"/>
      </items>
    </pivotField>
    <pivotField compact="0" outline="0" showAll="0">
      <items count="13">
        <item x="0"/>
        <item x="1"/>
        <item x="2"/>
        <item x="3"/>
        <item x="4"/>
        <item x="5"/>
        <item x="6"/>
        <item x="7"/>
        <item x="8"/>
        <item x="9"/>
        <item x="10"/>
        <item x="11"/>
        <item t="default"/>
      </items>
    </pivotField>
    <pivotField compact="0" numFmtId="14" outline="0" showAll="0"/>
    <pivotField name="Average vistors" axis="axisCol" compact="0" outline="0" showAll="0">
      <items count="8">
        <item n="Sun" x="4"/>
        <item n="Mon" x="0"/>
        <item n="Tues" x="1"/>
        <item n="Wed" x="2"/>
        <item n="Thurs" x="3"/>
        <item n="Fri" x="6"/>
        <item n="Sat" x="5"/>
        <item t="default"/>
      </items>
    </pivotField>
    <pivotField compact="0" outline="0" showAll="0"/>
    <pivotField compact="0" outline="0" showAll="0"/>
    <pivotField dataField="1" compact="0" outline="0" showAll="0"/>
  </pivotFields>
  <rowFields count="1">
    <field x="0"/>
  </rowFields>
  <rowItems count="5">
    <i>
      <x/>
    </i>
    <i>
      <x v="1"/>
    </i>
    <i>
      <x v="2"/>
    </i>
    <i>
      <x v="3"/>
    </i>
    <i t="grand">
      <x/>
    </i>
  </rowItems>
  <colFields count="1">
    <field x="3"/>
  </colFields>
  <colItems count="8">
    <i>
      <x/>
    </i>
    <i>
      <x v="1"/>
    </i>
    <i>
      <x v="2"/>
    </i>
    <i>
      <x v="3"/>
    </i>
    <i>
      <x v="4"/>
    </i>
    <i>
      <x v="5"/>
    </i>
    <i>
      <x v="6"/>
    </i>
    <i t="grand">
      <x/>
    </i>
  </colItems>
  <dataFields count="1">
    <dataField name="  " fld="6" subtotal="average" baseField="0" baseItem="0" numFmtId="2"/>
  </dataFields>
  <formats count="22">
    <format dxfId="116">
      <pivotArea grandRow="1" outline="0" collapsedLevelsAreSubtotals="1" fieldPosition="0"/>
    </format>
    <format dxfId="115">
      <pivotArea outline="0" collapsedLevelsAreSubtotals="1" fieldPosition="0"/>
    </format>
    <format dxfId="114">
      <pivotArea type="all" dataOnly="0" outline="0" fieldPosition="0"/>
    </format>
    <format dxfId="113">
      <pivotArea dataOnly="0" labelOnly="1" grandRow="1" outline="0" fieldPosition="0"/>
    </format>
    <format dxfId="112">
      <pivotArea outline="0" collapsedLevelsAreSubtotals="1" fieldPosition="0"/>
    </format>
    <format dxfId="111">
      <pivotArea dataOnly="0" labelOnly="1" outline="0" axis="axisValues" fieldPosition="0"/>
    </format>
    <format dxfId="110">
      <pivotArea outline="0" collapsedLevelsAreSubtotals="1" fieldPosition="0"/>
    </format>
    <format dxfId="109">
      <pivotArea outline="0" fieldPosition="0">
        <references count="1">
          <reference field="3" count="1" selected="0">
            <x v="3"/>
          </reference>
        </references>
      </pivotArea>
    </format>
    <format dxfId="108">
      <pivotArea type="all" dataOnly="0" outline="0" fieldPosition="0"/>
    </format>
    <format dxfId="107">
      <pivotArea outline="0" collapsedLevelsAreSubtotals="1" fieldPosition="0"/>
    </format>
    <format dxfId="106">
      <pivotArea dataOnly="0" labelOnly="1" outline="0" fieldPosition="0">
        <references count="1">
          <reference field="0" count="0"/>
        </references>
      </pivotArea>
    </format>
    <format dxfId="105">
      <pivotArea dataOnly="0" labelOnly="1" grandRow="1" outline="0" fieldPosition="0"/>
    </format>
    <format dxfId="104">
      <pivotArea type="all" dataOnly="0" outline="0" fieldPosition="0"/>
    </format>
    <format dxfId="103">
      <pivotArea outline="0" collapsedLevelsAreSubtotals="1" fieldPosition="0"/>
    </format>
    <format dxfId="102">
      <pivotArea dataOnly="0" labelOnly="1" outline="0" fieldPosition="0">
        <references count="1">
          <reference field="0" count="0"/>
        </references>
      </pivotArea>
    </format>
    <format dxfId="101">
      <pivotArea dataOnly="0" labelOnly="1" grandRow="1" outline="0" fieldPosition="0"/>
    </format>
    <format dxfId="100">
      <pivotArea type="origin" dataOnly="0" labelOnly="1" outline="0" fieldPosition="0"/>
    </format>
    <format dxfId="99">
      <pivotArea field="3" type="button" dataOnly="0" labelOnly="1" outline="0" axis="axisCol" fieldPosition="0"/>
    </format>
    <format dxfId="98">
      <pivotArea type="topRight" dataOnly="0" labelOnly="1" outline="0" fieldPosition="0"/>
    </format>
    <format dxfId="97">
      <pivotArea field="0" type="button" dataOnly="0" labelOnly="1" outline="0" axis="axisRow" fieldPosition="0"/>
    </format>
    <format dxfId="96">
      <pivotArea dataOnly="0" labelOnly="1" outline="0" fieldPosition="0">
        <references count="1">
          <reference field="3" count="0"/>
        </references>
      </pivotArea>
    </format>
    <format dxfId="95">
      <pivotArea dataOnly="0" labelOnly="1" grandCol="1" outline="0" fieldPosition="0"/>
    </format>
  </formats>
  <chartFormats count="15">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19" format="77" series="1">
      <pivotArea type="data" outline="0" fieldPosition="0">
        <references count="1">
          <reference field="4294967294" count="1" selected="0">
            <x v="0"/>
          </reference>
        </references>
      </pivotArea>
    </chartFormat>
    <chartFormat chart="19" format="78" series="1">
      <pivotArea type="data" outline="0" fieldPosition="0">
        <references count="2">
          <reference field="4294967294" count="1" selected="0">
            <x v="0"/>
          </reference>
          <reference field="3" count="1" selected="0">
            <x v="1"/>
          </reference>
        </references>
      </pivotArea>
    </chartFormat>
    <chartFormat chart="19" format="79" series="1">
      <pivotArea type="data" outline="0" fieldPosition="0">
        <references count="2">
          <reference field="4294967294" count="1" selected="0">
            <x v="0"/>
          </reference>
          <reference field="3" count="1" selected="0">
            <x v="2"/>
          </reference>
        </references>
      </pivotArea>
    </chartFormat>
    <chartFormat chart="19" format="80" series="1">
      <pivotArea type="data" outline="0" fieldPosition="0">
        <references count="2">
          <reference field="4294967294" count="1" selected="0">
            <x v="0"/>
          </reference>
          <reference field="3" count="1" selected="0">
            <x v="3"/>
          </reference>
        </references>
      </pivotArea>
    </chartFormat>
    <chartFormat chart="19" format="81" series="1">
      <pivotArea type="data" outline="0" fieldPosition="0">
        <references count="2">
          <reference field="4294967294" count="1" selected="0">
            <x v="0"/>
          </reference>
          <reference field="3" count="1" selected="0">
            <x v="4"/>
          </reference>
        </references>
      </pivotArea>
    </chartFormat>
    <chartFormat chart="19" format="82" series="1">
      <pivotArea type="data" outline="0" fieldPosition="0">
        <references count="2">
          <reference field="4294967294" count="1" selected="0">
            <x v="0"/>
          </reference>
          <reference field="3" count="1" selected="0">
            <x v="5"/>
          </reference>
        </references>
      </pivotArea>
    </chartFormat>
    <chartFormat chart="19" format="83" series="1">
      <pivotArea type="data" outline="0" fieldPosition="0">
        <references count="2">
          <reference field="4294967294" count="1" selected="0">
            <x v="0"/>
          </reference>
          <reference field="3" count="1" selected="0">
            <x v="6"/>
          </reference>
        </references>
      </pivotArea>
    </chartFormat>
    <chartFormat chart="19" format="84" series="1">
      <pivotArea type="data" outline="0" fieldPosition="0">
        <references count="2">
          <reference field="4294967294" count="1" selected="0">
            <x v="0"/>
          </reference>
          <reference field="3" count="1" selected="0">
            <x v="0"/>
          </reference>
        </references>
      </pivotArea>
    </chartFormat>
    <chartFormat chart="19" format="85">
      <pivotArea type="data" outline="0" fieldPosition="0">
        <references count="3">
          <reference field="4294967294" count="1" selected="0">
            <x v="0"/>
          </reference>
          <reference field="0" count="1" selected="0">
            <x v="0"/>
          </reference>
          <reference field="3" count="1" selected="0">
            <x v="0"/>
          </reference>
        </references>
      </pivotArea>
    </chartFormat>
    <chartFormat chart="19" format="86">
      <pivotArea type="data" outline="0" fieldPosition="0">
        <references count="3">
          <reference field="4294967294" count="1" selected="0">
            <x v="0"/>
          </reference>
          <reference field="0" count="1" selected="0">
            <x v="3"/>
          </reference>
          <reference field="3" count="1" selected="0">
            <x v="5"/>
          </reference>
        </references>
      </pivotArea>
    </chartFormat>
    <chartFormat chart="19" format="87">
      <pivotArea type="data" outline="0" fieldPosition="0">
        <references count="3">
          <reference field="4294967294" count="1" selected="0">
            <x v="0"/>
          </reference>
          <reference field="0" count="1" selected="0">
            <x v="1"/>
          </reference>
          <reference field="3" count="1" selected="0">
            <x v="6"/>
          </reference>
        </references>
      </pivotArea>
    </chartFormat>
    <chartFormat chart="19" format="88">
      <pivotArea type="data" outline="0" fieldPosition="0">
        <references count="3">
          <reference field="4294967294" count="1" selected="0">
            <x v="0"/>
          </reference>
          <reference field="0" count="1" selected="0">
            <x v="3"/>
          </reference>
          <reference field="3"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6ED8E05-006F-4549-A854-B1CC9C46E8B7}" name="PivotTable5" cacheId="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7">
  <location ref="B38:C44" firstHeaderRow="1" firstDataRow="1" firstDataCol="1"/>
  <pivotFields count="5">
    <pivotField compact="0" outline="0" showAll="0">
      <items count="18">
        <item x="3"/>
        <item x="9"/>
        <item x="7"/>
        <item x="5"/>
        <item x="11"/>
        <item x="12"/>
        <item x="13"/>
        <item x="10"/>
        <item x="2"/>
        <item x="15"/>
        <item x="1"/>
        <item x="0"/>
        <item x="8"/>
        <item x="4"/>
        <item x="16"/>
        <item x="14"/>
        <item x="6"/>
        <item t="default"/>
      </items>
    </pivotField>
    <pivotField dataField="1" compact="0" outline="0" showAll="0"/>
    <pivotField compact="0" outline="0" showAll="0"/>
    <pivotField compact="0" outline="0" showAll="0"/>
    <pivotField axis="axisRow" compact="0" outline="0" showAll="0" sortType="descending">
      <items count="6">
        <item n="Historical Archive " x="4"/>
        <item x="2"/>
        <item x="0"/>
        <item n="Research Support " x="1"/>
        <item x="3"/>
        <item t="default"/>
      </items>
      <autoSortScope>
        <pivotArea dataOnly="0" outline="0" fieldPosition="0">
          <references count="1">
            <reference field="4294967294" count="1" selected="0">
              <x v="0"/>
            </reference>
          </references>
        </pivotArea>
      </autoSortScope>
    </pivotField>
  </pivotFields>
  <rowFields count="1">
    <field x="4"/>
  </rowFields>
  <rowItems count="6">
    <i>
      <x v="3"/>
    </i>
    <i>
      <x v="2"/>
    </i>
    <i>
      <x v="1"/>
    </i>
    <i>
      <x v="4"/>
    </i>
    <i>
      <x/>
    </i>
    <i t="grand">
      <x/>
    </i>
  </rowItems>
  <colItems count="1">
    <i/>
  </colItems>
  <dataFields count="1">
    <dataField name="Sum of requests" fld="1" baseField="0" baseItem="0"/>
  </dataFields>
  <formats count="10">
    <format dxfId="126">
      <pivotArea type="all" dataOnly="0" outline="0" fieldPosition="0"/>
    </format>
    <format dxfId="125">
      <pivotArea outline="0" collapsedLevelsAreSubtotals="1" fieldPosition="0"/>
    </format>
    <format dxfId="124">
      <pivotArea dataOnly="0" labelOnly="1" outline="0" fieldPosition="0">
        <references count="1">
          <reference field="4" count="0"/>
        </references>
      </pivotArea>
    </format>
    <format dxfId="123">
      <pivotArea dataOnly="0" labelOnly="1" grandRow="1" outline="0" fieldPosition="0"/>
    </format>
    <format dxfId="122">
      <pivotArea type="all" dataOnly="0" outline="0" fieldPosition="0"/>
    </format>
    <format dxfId="121">
      <pivotArea outline="0" collapsedLevelsAreSubtotals="1" fieldPosition="0"/>
    </format>
    <format dxfId="120">
      <pivotArea dataOnly="0" labelOnly="1" outline="0" fieldPosition="0">
        <references count="1">
          <reference field="4" count="0"/>
        </references>
      </pivotArea>
    </format>
    <format dxfId="119">
      <pivotArea dataOnly="0" labelOnly="1" grandRow="1" outline="0" fieldPosition="0"/>
    </format>
    <format dxfId="118">
      <pivotArea field="4" type="button" dataOnly="0" labelOnly="1" outline="0" axis="axisRow" fieldPosition="0"/>
    </format>
    <format dxfId="117">
      <pivotArea dataOnly="0" labelOnly="1" outline="0" axis="axisValues" fieldPosition="0"/>
    </format>
  </formats>
  <chartFormats count="48">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4" count="1" selected="0">
            <x v="3"/>
          </reference>
        </references>
      </pivotArea>
    </chartFormat>
    <chartFormat chart="10" format="8">
      <pivotArea type="data" outline="0" fieldPosition="0">
        <references count="2">
          <reference field="4294967294" count="1" selected="0">
            <x v="0"/>
          </reference>
          <reference field="4" count="1" selected="0">
            <x v="2"/>
          </reference>
        </references>
      </pivotArea>
    </chartFormat>
    <chartFormat chart="10" format="9">
      <pivotArea type="data" outline="0" fieldPosition="0">
        <references count="2">
          <reference field="4294967294" count="1" selected="0">
            <x v="0"/>
          </reference>
          <reference field="4" count="1" selected="0">
            <x v="1"/>
          </reference>
        </references>
      </pivotArea>
    </chartFormat>
    <chartFormat chart="10" format="10">
      <pivotArea type="data" outline="0" fieldPosition="0">
        <references count="2">
          <reference field="4294967294" count="1" selected="0">
            <x v="0"/>
          </reference>
          <reference field="4" count="1" selected="0">
            <x v="4"/>
          </reference>
        </references>
      </pivotArea>
    </chartFormat>
    <chartFormat chart="10" format="11">
      <pivotArea type="data" outline="0" fieldPosition="0">
        <references count="2">
          <reference field="4294967294" count="1" selected="0">
            <x v="0"/>
          </reference>
          <reference field="4" count="1" selected="0">
            <x v="0"/>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4" count="1" selected="0">
            <x v="3"/>
          </reference>
        </references>
      </pivotArea>
    </chartFormat>
    <chartFormat chart="11" format="14">
      <pivotArea type="data" outline="0" fieldPosition="0">
        <references count="2">
          <reference field="4294967294" count="1" selected="0">
            <x v="0"/>
          </reference>
          <reference field="4" count="1" selected="0">
            <x v="2"/>
          </reference>
        </references>
      </pivotArea>
    </chartFormat>
    <chartFormat chart="11" format="15">
      <pivotArea type="data" outline="0" fieldPosition="0">
        <references count="2">
          <reference field="4294967294" count="1" selected="0">
            <x v="0"/>
          </reference>
          <reference field="4" count="1" selected="0">
            <x v="1"/>
          </reference>
        </references>
      </pivotArea>
    </chartFormat>
    <chartFormat chart="11" format="16">
      <pivotArea type="data" outline="0" fieldPosition="0">
        <references count="2">
          <reference field="4294967294" count="1" selected="0">
            <x v="0"/>
          </reference>
          <reference field="4" count="1" selected="0">
            <x v="4"/>
          </reference>
        </references>
      </pivotArea>
    </chartFormat>
    <chartFormat chart="11" format="17">
      <pivotArea type="data" outline="0" fieldPosition="0">
        <references count="2">
          <reference field="4294967294" count="1" selected="0">
            <x v="0"/>
          </reference>
          <reference field="4" count="1" selected="0">
            <x v="0"/>
          </reference>
        </references>
      </pivotArea>
    </chartFormat>
    <chartFormat chart="12" format="18" series="1">
      <pivotArea type="data" outline="0" fieldPosition="0">
        <references count="1">
          <reference field="4294967294" count="1" selected="0">
            <x v="0"/>
          </reference>
        </references>
      </pivotArea>
    </chartFormat>
    <chartFormat chart="12" format="19">
      <pivotArea type="data" outline="0" fieldPosition="0">
        <references count="2">
          <reference field="4294967294" count="1" selected="0">
            <x v="0"/>
          </reference>
          <reference field="4" count="1" selected="0">
            <x v="3"/>
          </reference>
        </references>
      </pivotArea>
    </chartFormat>
    <chartFormat chart="12" format="20">
      <pivotArea type="data" outline="0" fieldPosition="0">
        <references count="2">
          <reference field="4294967294" count="1" selected="0">
            <x v="0"/>
          </reference>
          <reference field="4" count="1" selected="0">
            <x v="2"/>
          </reference>
        </references>
      </pivotArea>
    </chartFormat>
    <chartFormat chart="12" format="21">
      <pivotArea type="data" outline="0" fieldPosition="0">
        <references count="2">
          <reference field="4294967294" count="1" selected="0">
            <x v="0"/>
          </reference>
          <reference field="4" count="1" selected="0">
            <x v="1"/>
          </reference>
        </references>
      </pivotArea>
    </chartFormat>
    <chartFormat chart="12" format="22">
      <pivotArea type="data" outline="0" fieldPosition="0">
        <references count="2">
          <reference field="4294967294" count="1" selected="0">
            <x v="0"/>
          </reference>
          <reference field="4" count="1" selected="0">
            <x v="4"/>
          </reference>
        </references>
      </pivotArea>
    </chartFormat>
    <chartFormat chart="12" format="23">
      <pivotArea type="data" outline="0" fieldPosition="0">
        <references count="2">
          <reference field="4294967294" count="1" selected="0">
            <x v="0"/>
          </reference>
          <reference field="4" count="1" selected="0">
            <x v="0"/>
          </reference>
        </references>
      </pivotArea>
    </chartFormat>
    <chartFormat chart="14" format="30" series="1">
      <pivotArea type="data" outline="0" fieldPosition="0">
        <references count="1">
          <reference field="4294967294" count="1" selected="0">
            <x v="0"/>
          </reference>
        </references>
      </pivotArea>
    </chartFormat>
    <chartFormat chart="14" format="31">
      <pivotArea type="data" outline="0" fieldPosition="0">
        <references count="2">
          <reference field="4294967294" count="1" selected="0">
            <x v="0"/>
          </reference>
          <reference field="4" count="1" selected="0">
            <x v="3"/>
          </reference>
        </references>
      </pivotArea>
    </chartFormat>
    <chartFormat chart="14" format="32">
      <pivotArea type="data" outline="0" fieldPosition="0">
        <references count="2">
          <reference field="4294967294" count="1" selected="0">
            <x v="0"/>
          </reference>
          <reference field="4" count="1" selected="0">
            <x v="2"/>
          </reference>
        </references>
      </pivotArea>
    </chartFormat>
    <chartFormat chart="14" format="33">
      <pivotArea type="data" outline="0" fieldPosition="0">
        <references count="2">
          <reference field="4294967294" count="1" selected="0">
            <x v="0"/>
          </reference>
          <reference field="4" count="1" selected="0">
            <x v="1"/>
          </reference>
        </references>
      </pivotArea>
    </chartFormat>
    <chartFormat chart="14" format="34">
      <pivotArea type="data" outline="0" fieldPosition="0">
        <references count="2">
          <reference field="4294967294" count="1" selected="0">
            <x v="0"/>
          </reference>
          <reference field="4" count="1" selected="0">
            <x v="4"/>
          </reference>
        </references>
      </pivotArea>
    </chartFormat>
    <chartFormat chart="14" format="35">
      <pivotArea type="data" outline="0" fieldPosition="0">
        <references count="2">
          <reference field="4294967294" count="1" selected="0">
            <x v="0"/>
          </reference>
          <reference field="4" count="1" selected="0">
            <x v="0"/>
          </reference>
        </references>
      </pivotArea>
    </chartFormat>
    <chartFormat chart="15" format="36" series="1">
      <pivotArea type="data" outline="0" fieldPosition="0">
        <references count="1">
          <reference field="4294967294" count="1" selected="0">
            <x v="0"/>
          </reference>
        </references>
      </pivotArea>
    </chartFormat>
    <chartFormat chart="15" format="37">
      <pivotArea type="data" outline="0" fieldPosition="0">
        <references count="2">
          <reference field="4294967294" count="1" selected="0">
            <x v="0"/>
          </reference>
          <reference field="4" count="1" selected="0">
            <x v="3"/>
          </reference>
        </references>
      </pivotArea>
    </chartFormat>
    <chartFormat chart="15" format="38">
      <pivotArea type="data" outline="0" fieldPosition="0">
        <references count="2">
          <reference field="4294967294" count="1" selected="0">
            <x v="0"/>
          </reference>
          <reference field="4" count="1" selected="0">
            <x v="2"/>
          </reference>
        </references>
      </pivotArea>
    </chartFormat>
    <chartFormat chart="15" format="39">
      <pivotArea type="data" outline="0" fieldPosition="0">
        <references count="2">
          <reference field="4294967294" count="1" selected="0">
            <x v="0"/>
          </reference>
          <reference field="4" count="1" selected="0">
            <x v="1"/>
          </reference>
        </references>
      </pivotArea>
    </chartFormat>
    <chartFormat chart="15" format="40">
      <pivotArea type="data" outline="0" fieldPosition="0">
        <references count="2">
          <reference field="4294967294" count="1" selected="0">
            <x v="0"/>
          </reference>
          <reference field="4" count="1" selected="0">
            <x v="4"/>
          </reference>
        </references>
      </pivotArea>
    </chartFormat>
    <chartFormat chart="15" format="41">
      <pivotArea type="data" outline="0" fieldPosition="0">
        <references count="2">
          <reference field="4294967294" count="1" selected="0">
            <x v="0"/>
          </reference>
          <reference field="4" count="1" selected="0">
            <x v="0"/>
          </reference>
        </references>
      </pivotArea>
    </chartFormat>
    <chartFormat chart="16" format="42" series="1">
      <pivotArea type="data" outline="0" fieldPosition="0">
        <references count="1">
          <reference field="4294967294" count="1" selected="0">
            <x v="0"/>
          </reference>
        </references>
      </pivotArea>
    </chartFormat>
    <chartFormat chart="16" format="43">
      <pivotArea type="data" outline="0" fieldPosition="0">
        <references count="2">
          <reference field="4294967294" count="1" selected="0">
            <x v="0"/>
          </reference>
          <reference field="4" count="1" selected="0">
            <x v="3"/>
          </reference>
        </references>
      </pivotArea>
    </chartFormat>
    <chartFormat chart="16" format="44">
      <pivotArea type="data" outline="0" fieldPosition="0">
        <references count="2">
          <reference field="4294967294" count="1" selected="0">
            <x v="0"/>
          </reference>
          <reference field="4" count="1" selected="0">
            <x v="2"/>
          </reference>
        </references>
      </pivotArea>
    </chartFormat>
    <chartFormat chart="16" format="45">
      <pivotArea type="data" outline="0" fieldPosition="0">
        <references count="2">
          <reference field="4294967294" count="1" selected="0">
            <x v="0"/>
          </reference>
          <reference field="4" count="1" selected="0">
            <x v="1"/>
          </reference>
        </references>
      </pivotArea>
    </chartFormat>
    <chartFormat chart="16" format="46">
      <pivotArea type="data" outline="0" fieldPosition="0">
        <references count="2">
          <reference field="4294967294" count="1" selected="0">
            <x v="0"/>
          </reference>
          <reference field="4" count="1" selected="0">
            <x v="4"/>
          </reference>
        </references>
      </pivotArea>
    </chartFormat>
    <chartFormat chart="16" format="47">
      <pivotArea type="data" outline="0" fieldPosition="0">
        <references count="2">
          <reference field="4294967294" count="1" selected="0">
            <x v="0"/>
          </reference>
          <reference field="4" count="1" selected="0">
            <x v="0"/>
          </reference>
        </references>
      </pivotArea>
    </chartFormat>
    <chartFormat chart="19" format="60" series="1">
      <pivotArea type="data" outline="0" fieldPosition="0">
        <references count="1">
          <reference field="4294967294" count="1" selected="0">
            <x v="0"/>
          </reference>
        </references>
      </pivotArea>
    </chartFormat>
    <chartFormat chart="19" format="61">
      <pivotArea type="data" outline="0" fieldPosition="0">
        <references count="2">
          <reference field="4294967294" count="1" selected="0">
            <x v="0"/>
          </reference>
          <reference field="4" count="1" selected="0">
            <x v="3"/>
          </reference>
        </references>
      </pivotArea>
    </chartFormat>
    <chartFormat chart="19" format="62">
      <pivotArea type="data" outline="0" fieldPosition="0">
        <references count="2">
          <reference field="4294967294" count="1" selected="0">
            <x v="0"/>
          </reference>
          <reference field="4" count="1" selected="0">
            <x v="2"/>
          </reference>
        </references>
      </pivotArea>
    </chartFormat>
    <chartFormat chart="19" format="63">
      <pivotArea type="data" outline="0" fieldPosition="0">
        <references count="2">
          <reference field="4294967294" count="1" selected="0">
            <x v="0"/>
          </reference>
          <reference field="4" count="1" selected="0">
            <x v="1"/>
          </reference>
        </references>
      </pivotArea>
    </chartFormat>
    <chartFormat chart="19" format="64">
      <pivotArea type="data" outline="0" fieldPosition="0">
        <references count="2">
          <reference field="4294967294" count="1" selected="0">
            <x v="0"/>
          </reference>
          <reference field="4" count="1" selected="0">
            <x v="4"/>
          </reference>
        </references>
      </pivotArea>
    </chartFormat>
    <chartFormat chart="19" format="65">
      <pivotArea type="data" outline="0" fieldPosition="0">
        <references count="2">
          <reference field="4294967294" count="1" selected="0">
            <x v="0"/>
          </reference>
          <reference field="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0A176C-8A3B-4228-A2E6-30F458C9F1B7}" name="PivotTable3" cacheId="7" applyNumberFormats="0" applyBorderFormats="0" applyFontFormats="0" applyPatternFormats="0" applyAlignmentFormats="0" applyWidthHeightFormats="1" dataCaption="Values" updatedVersion="7" minRefreshableVersion="3" useAutoFormatting="1" itemPrintTitles="1" createdVersion="8" indent="0" compact="0" compactData="0" multipleFieldFilters="0" chartFormat="16">
  <location ref="G38:H43" firstHeaderRow="1" firstDataRow="1" firstDataCol="1"/>
  <pivotFields count="8">
    <pivotField axis="axisRow" compact="0" outline="0" showAll="0">
      <items count="5">
        <item x="0"/>
        <item x="1"/>
        <item x="2"/>
        <item x="3"/>
        <item t="default"/>
      </items>
    </pivotField>
    <pivotField compact="0" outline="0" showAll="0"/>
    <pivotField dataField="1" compact="0" outline="0" showAll="0"/>
    <pivotField compact="0" outline="0" showAll="0">
      <items count="3">
        <item x="1"/>
        <item x="0"/>
        <item t="default"/>
      </items>
    </pivotField>
    <pivotField compact="0" outline="0" showAll="0">
      <items count="6">
        <item x="2"/>
        <item x="0"/>
        <item x="4"/>
        <item x="1"/>
        <item x="3"/>
        <item t="default"/>
      </items>
    </pivotField>
    <pivotField compact="0" outline="0" showAll="0"/>
    <pivotField compact="0" numFmtId="14" outline="0" showAll="0"/>
    <pivotField compact="0" numFmtId="14" outline="0" showAll="0"/>
  </pivotFields>
  <rowFields count="1">
    <field x="0"/>
  </rowFields>
  <rowItems count="5">
    <i>
      <x/>
    </i>
    <i>
      <x v="1"/>
    </i>
    <i>
      <x v="2"/>
    </i>
    <i>
      <x v="3"/>
    </i>
    <i t="grand">
      <x/>
    </i>
  </rowItems>
  <colItems count="1">
    <i/>
  </colItems>
  <dataFields count="1">
    <dataField name="# of events" fld="2" subtotal="count" baseField="0" baseItem="0"/>
  </dataFields>
  <formats count="10">
    <format dxfId="136">
      <pivotArea type="all" dataOnly="0" outline="0" fieldPosition="0"/>
    </format>
    <format dxfId="135">
      <pivotArea outline="0" collapsedLevelsAreSubtotals="1" fieldPosition="0"/>
    </format>
    <format dxfId="134">
      <pivotArea dataOnly="0" labelOnly="1" outline="0" fieldPosition="0">
        <references count="1">
          <reference field="0" count="0"/>
        </references>
      </pivotArea>
    </format>
    <format dxfId="133">
      <pivotArea dataOnly="0" labelOnly="1" grandRow="1" outline="0" fieldPosition="0"/>
    </format>
    <format dxfId="132">
      <pivotArea type="all" dataOnly="0" outline="0" fieldPosition="0"/>
    </format>
    <format dxfId="131">
      <pivotArea outline="0" collapsedLevelsAreSubtotals="1" fieldPosition="0"/>
    </format>
    <format dxfId="130">
      <pivotArea dataOnly="0" labelOnly="1" outline="0" fieldPosition="0">
        <references count="1">
          <reference field="0" count="0"/>
        </references>
      </pivotArea>
    </format>
    <format dxfId="129">
      <pivotArea dataOnly="0" labelOnly="1" grandRow="1" outline="0" fieldPosition="0"/>
    </format>
    <format dxfId="128">
      <pivotArea field="0" type="button" dataOnly="0" labelOnly="1" outline="0" axis="axisRow" fieldPosition="0"/>
    </format>
    <format dxfId="127">
      <pivotArea dataOnly="0" labelOnly="1" outline="0" axis="axisValues" fieldPosition="0"/>
    </format>
  </formats>
  <chartFormats count="5">
    <chartFormat chart="11" format="112" series="1">
      <pivotArea type="data" outline="0" fieldPosition="0">
        <references count="1">
          <reference field="4294967294" count="1" selected="0">
            <x v="0"/>
          </reference>
        </references>
      </pivotArea>
    </chartFormat>
    <chartFormat chart="11" format="113">
      <pivotArea type="data" outline="0" fieldPosition="0">
        <references count="2">
          <reference field="4294967294" count="1" selected="0">
            <x v="0"/>
          </reference>
          <reference field="0" count="1" selected="0">
            <x v="3"/>
          </reference>
        </references>
      </pivotArea>
    </chartFormat>
    <chartFormat chart="11" format="114">
      <pivotArea type="data" outline="0" fieldPosition="0">
        <references count="2">
          <reference field="4294967294" count="1" selected="0">
            <x v="0"/>
          </reference>
          <reference field="0" count="1" selected="0">
            <x v="2"/>
          </reference>
        </references>
      </pivotArea>
    </chartFormat>
    <chartFormat chart="11" format="115">
      <pivotArea type="data" outline="0" fieldPosition="0">
        <references count="2">
          <reference field="4294967294" count="1" selected="0">
            <x v="0"/>
          </reference>
          <reference field="0" count="1" selected="0">
            <x v="1"/>
          </reference>
        </references>
      </pivotArea>
    </chartFormat>
    <chartFormat chart="11" format="116">
      <pivotArea type="data" outline="0" fieldPosition="0">
        <references count="2">
          <reference field="4294967294" count="1" selected="0">
            <x v="0"/>
          </reference>
          <reference field="0"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6C71A4C-AB6F-4858-B4DC-09D89C7F4A8C}" sourceName="month">
  <pivotTables>
    <pivotTable tabId="17" name="PivotTable1"/>
  </pivotTables>
  <data>
    <tabular pivotCacheId="997942817">
      <items count="12">
        <i x="0" s="1"/>
        <i x="1" s="1"/>
        <i x="2" s="1"/>
        <i x="3" s="1"/>
        <i x="4" s="1"/>
        <i x="5" s="1"/>
        <i x="6" s="1"/>
        <i x="7" s="1"/>
        <i x="8" s="1"/>
        <i x="9" s="1"/>
        <i x="10" s="1"/>
        <i x="1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4EB08924-97F5-4504-9076-CAE915D868E8}" sourceName="day">
  <pivotTables>
    <pivotTable tabId="17" name="PivotTable2"/>
  </pivotTables>
  <data>
    <tabular pivotCacheId="997942817">
      <items count="7">
        <i x="4" s="1"/>
        <i x="0" s="1"/>
        <i x="1" s="1"/>
        <i x="2" s="1"/>
        <i x="3" s="1"/>
        <i x="6"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dince" xr10:uid="{F4A87702-F68B-45E3-883E-E29C0D01A102}" sourceName="audince ">
  <pivotTables>
    <pivotTable tabId="17" name="PivotTable3"/>
  </pivotTables>
  <data>
    <tabular pivotCacheId="49510762" sortOrder="descending">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FC7C8A2D-A546-48B2-ABCB-0C7EAC3EF7C2}" cache="Slicer_month" columnCount="2" showCaption="0" style="Slicer Style222 2" rowHeight="241300"/>
  <slicer name="day" xr10:uid="{10C7AD0B-C578-478E-9544-2B346B309265}" cache="Slicer_day" caption="day" columnCount="7" showCaption="0" style="Slicer Style222 2" rowHeight="241300"/>
  <slicer name="audince " xr10:uid="{3CBF5E9D-EC59-4D63-8E3D-4B5860A3AC45}" cache="Slicer_audince" caption="audince " columnCount="2" showCaption="0" style="Slicer Style222 2"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1664B5-F8B9-4D2E-84D3-21E9150D5641}" name="Table5" displayName="Table5" ref="F22:I30" totalsRowShown="0" dataDxfId="53" headerRowCellStyle="Style 1">
  <autoFilter ref="F22:I30" xr:uid="{981664B5-F8B9-4D2E-84D3-21E9150D5641}"/>
  <tableColumns count="4">
    <tableColumn id="1" xr3:uid="{2A025610-360E-4801-A8ED-DF52B1A78FE3}" name="Day" dataDxfId="52"/>
    <tableColumn id="2" xr3:uid="{CA65F3E2-3054-4862-B7D2-51AD3B5E0FAE}" name="official hours " dataDxfId="51"/>
    <tableColumn id="7" xr3:uid="{5E5D09AE-E0E3-4AE8-AE24-1A1525E29822}" name="beneficiary hours " dataDxfId="50"/>
    <tableColumn id="5" xr3:uid="{8656986B-8682-4B41-9B18-9E6B7457C0BB}" name="total hours (- crossed)" dataDxfId="4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1D602C-FE29-4A2F-ADC5-127EAA1FC4EA}" name="Table7" displayName="Table7" ref="F31:I32" totalsRowShown="0" dataDxfId="48" tableBorderDxfId="47" totalsRowBorderDxfId="46" headerRowCellStyle="Style 1" dataCellStyle="Total">
  <autoFilter ref="F31:I32" xr:uid="{151D602C-FE29-4A2F-ADC5-127EAA1FC4EA}"/>
  <tableColumns count="4">
    <tableColumn id="1" xr3:uid="{726CEB5E-BD38-47A8-B51D-5806E9E9864F}" name="   " dataDxfId="45" dataCellStyle="Total"/>
    <tableColumn id="2" xr3:uid="{AD5DD840-5172-46F3-B9E0-C954F23E77DA}" name="official working hours " dataDxfId="44" dataCellStyle="Total">
      <calculatedColumnFormula>SUM(G23:G29)</calculatedColumnFormula>
    </tableColumn>
    <tableColumn id="3" xr3:uid="{39CFAB49-2638-4566-9B20-1F8B0900C809}" name="beneficiary serivce hours " dataDxfId="43" dataCellStyle="Total">
      <calculatedColumnFormula>I32-G32</calculatedColumnFormula>
    </tableColumn>
    <tableColumn id="4" xr3:uid="{9599D47D-6CAB-423F-98C8-0FAF0AD50A4E}" name="total hours" dataDxfId="42" dataCellStyle="Total">
      <calculatedColumnFormula>SUM(I23:I29)</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2AE54A0-3438-49B4-BCB2-10B95043D360}" name="Table211" displayName="Table211" ref="A1:G248" totalsRowShown="0" headerRowDxfId="41" dataDxfId="39" headerRowBorderDxfId="40" tableBorderDxfId="38">
  <autoFilter ref="A1:G248" xr:uid="{92AE54A0-3438-49B4-BCB2-10B95043D360}"/>
  <tableColumns count="7">
    <tableColumn id="5" xr3:uid="{BA262FAC-D7F9-4C1A-BDEC-71849001A710}" name="quarter" dataDxfId="37">
      <calculatedColumnFormula>"Q"&amp;ROUNDUP(MONTH(C2)/3,0)</calculatedColumnFormula>
    </tableColumn>
    <tableColumn id="9" xr3:uid="{DE8E90E8-9C0B-44DF-81F7-BC00CDA09DCC}" name="month" dataDxfId="36">
      <calculatedColumnFormula>TEXT(C2,"mmm")</calculatedColumnFormula>
    </tableColumn>
    <tableColumn id="1" xr3:uid="{7DF58E9F-1E4F-4546-93C5-8CB8BBC8C53E}" name="date" dataDxfId="35"/>
    <tableColumn id="6" xr3:uid="{9263F02C-B23B-4032-9907-580276454C42}" name="day" dataDxfId="34"/>
    <tableColumn id="2" xr3:uid="{D8CAF060-3CCD-44AB-B2B3-9C700A22A40A}" name="male" dataDxfId="33"/>
    <tableColumn id="3" xr3:uid="{3F0CBBA6-3973-47DC-809D-99A3A46884C8}" name="female" dataDxfId="32"/>
    <tableColumn id="4" xr3:uid="{E54903E9-E650-4D8C-B901-7EED01E86A15}" name="total" dataDxfId="3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A9D0C8-9FE8-45F0-82F6-2B46112C9CB5}" name="Table1" displayName="Table1" ref="A1:H24" totalsRowShown="0" headerRowDxfId="30" dataDxfId="28" headerRowBorderDxfId="29" tableBorderDxfId="27">
  <autoFilter ref="A1:H24" xr:uid="{84A9D0C8-9FE8-45F0-82F6-2B46112C9CB5}"/>
  <tableColumns count="8">
    <tableColumn id="1" xr3:uid="{D311A100-1764-47D1-A694-AB081C84D034}" name="quarter" dataDxfId="26">
      <calculatedColumnFormula>"Q"&amp;ROUNDUP(MONTH(H2)/3,0)</calculatedColumnFormula>
    </tableColumn>
    <tableColumn id="2" xr3:uid="{6ED60BB3-4AB5-4393-AB9C-B0C6AA369F7C}" name="city" dataDxfId="25"/>
    <tableColumn id="3" xr3:uid="{87B2F3B0-84DE-4C63-9276-51F2AA3CF96A}" name="event_title" dataDxfId="24"/>
    <tableColumn id="4" xr3:uid="{452A93E4-E48F-4453-88B8-04C007022C2A}" name="audince " dataDxfId="23"/>
    <tableColumn id="5" xr3:uid="{B4520ED7-70D0-43E8-A377-3FF7E37C8CCD}" name="location" dataDxfId="22"/>
    <tableColumn id="8" xr3:uid="{65264F5C-AA04-4C94-B4C1-16B5F680A745}" name="days" dataDxfId="21">
      <calculatedColumnFormula>H2 - G2 + 1</calculatedColumnFormula>
    </tableColumn>
    <tableColumn id="6" xr3:uid="{71E60937-0D7E-40F5-8FDE-0130EDEA9EE1}" name="start_date" dataDxfId="20"/>
    <tableColumn id="7" xr3:uid="{1E3E99B4-4932-4290-A7DA-57CCA7E0E83A}" name="end_date" dataDxfId="1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26425E-FB98-486F-B607-8D014F2E1D07}" name="Table4" displayName="Table4" ref="A1:E18" totalsRowShown="0" headerRowDxfId="18" dataDxfId="16" headerRowBorderDxfId="17" tableBorderDxfId="15" totalsRowBorderDxfId="14">
  <autoFilter ref="A1:E18" xr:uid="{5E26425E-FB98-486F-B607-8D014F2E1D07}"/>
  <tableColumns count="5">
    <tableColumn id="1" xr3:uid="{3B0054FE-31BA-4404-ADDD-98B60CFAB83F}" name="service_name" dataDxfId="13"/>
    <tableColumn id="2" xr3:uid="{C8654F86-5AE6-4DC2-9688-41360BF1F0A7}" name="requests" dataDxfId="12"/>
    <tableColumn id="4" xr3:uid="{3248908E-AF06-488D-97E7-ED0D81D399C2}" name="service_link" dataDxfId="11"/>
    <tableColumn id="3" xr3:uid="{FDEF1CFA-A523-4F85-B474-8EA6D5263038}" name="descreption " dataDxfId="10"/>
    <tableColumn id="6" xr3:uid="{A140FF49-58DC-4BA1-A180-6E878D0CD21B}" name="service_category" dataDxfId="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2A85061-80D9-4B3D-A4FD-E59F0CB78727}" name="Table15" displayName="Table15" ref="A1:C16" totalsRowShown="0" headerRowDxfId="8" dataDxfId="6" headerRowBorderDxfId="7" tableBorderDxfId="5" totalsRowBorderDxfId="4">
  <autoFilter ref="A1:C16" xr:uid="{A2A85061-80D9-4B3D-A4FD-E59F0CB78727}"/>
  <tableColumns count="3">
    <tableColumn id="1" xr3:uid="{1E6FD66D-B8DA-4A7E-B1CA-A052A86A3588}" name="criteria" dataDxfId="3"/>
    <tableColumn id="2" xr3:uid="{3A550C78-7EB9-4493-BA27-3BD2E46103BA}" name="response" dataDxfId="2"/>
    <tableColumn id="3" xr3:uid="{68066273-48B5-4096-B3EB-4516B5F626E2}" name="count" dataDxfId="1" totalsRow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F6C92D-8D53-4222-B9B8-EF6ADD610E94}">
  <we:reference id="WA200005502" version="1.0.0.12" store="en-US" storeType="omex"/>
  <we:alternateReferences>
    <we:reference id="WA200005502" version="1.0.0.12" store="en-US" storeType="omex"/>
  </we:alternateReferences>
  <we:properties>
    <we:property name="docId" value="&quot;jSS8Dk6RXsciW643y63SV&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hyperlink" Target="https://kfnl.gov.sa/Ar/EServices/wfs/Pages/131.aspx" TargetMode="External"/><Relationship Id="rId13" Type="http://schemas.openxmlformats.org/officeDocument/2006/relationships/hyperlink" Target="https://kfnl.gov.sa/Ar/EServices/wfs/Pages/29.aspx" TargetMode="External"/><Relationship Id="rId18" Type="http://schemas.openxmlformats.org/officeDocument/2006/relationships/table" Target="../tables/table5.xml"/><Relationship Id="rId3" Type="http://schemas.openxmlformats.org/officeDocument/2006/relationships/hyperlink" Target="https://kfnl.gov.sa/Ar/EServices/wfs/Pages/4.aspx" TargetMode="External"/><Relationship Id="rId7" Type="http://schemas.openxmlformats.org/officeDocument/2006/relationships/hyperlink" Target="https://kfnl.gov.sa/Ar/EServices/wfs/Pages/130.aspx" TargetMode="External"/><Relationship Id="rId12" Type="http://schemas.openxmlformats.org/officeDocument/2006/relationships/hyperlink" Target="https://kfnl.gov.sa/Ar/EServices/wfs/Pages/12.aspx" TargetMode="External"/><Relationship Id="rId17" Type="http://schemas.openxmlformats.org/officeDocument/2006/relationships/hyperlink" Target="https://eservices.kfnl.gov.sa:8060/KFNLDeptVisitors/Account/Login?ReturnUrl=%2fKFNLDeptVisitors%2f" TargetMode="External"/><Relationship Id="rId2" Type="http://schemas.openxmlformats.org/officeDocument/2006/relationships/hyperlink" Target="https://kfnl.gov.sa/Ar/EServices/wfs/Pages/2.aspx" TargetMode="External"/><Relationship Id="rId16" Type="http://schemas.openxmlformats.org/officeDocument/2006/relationships/hyperlink" Target="https://kfnl.gov.sa/Ar/EServices/wfs/Pages/32.aspx" TargetMode="External"/><Relationship Id="rId1" Type="http://schemas.openxmlformats.org/officeDocument/2006/relationships/hyperlink" Target="https://kfnl.gov.sa/Ar/EServices/wfs/Pages/3.aspx" TargetMode="External"/><Relationship Id="rId6" Type="http://schemas.openxmlformats.org/officeDocument/2006/relationships/hyperlink" Target="https://kfnl.gov.sa/Ar/EServices/wfs/Pages/129.aspx" TargetMode="External"/><Relationship Id="rId11" Type="http://schemas.openxmlformats.org/officeDocument/2006/relationships/hyperlink" Target="https://kfnl.gov.sa/Ar/EServices/wfs/Pages/24.aspx" TargetMode="External"/><Relationship Id="rId5" Type="http://schemas.openxmlformats.org/officeDocument/2006/relationships/hyperlink" Target="https://kfnl.gov.sa/Ar/EServices/wfs/Pages/7.aspx" TargetMode="External"/><Relationship Id="rId15" Type="http://schemas.openxmlformats.org/officeDocument/2006/relationships/hyperlink" Target="https://kfnl.gov.sa/Ar/EServices/wfs/Pages/31.aspx" TargetMode="External"/><Relationship Id="rId10" Type="http://schemas.openxmlformats.org/officeDocument/2006/relationships/hyperlink" Target="https://kfnl.gov.sa/Ar/EServices/wfs/Pages/11.aspx" TargetMode="External"/><Relationship Id="rId4" Type="http://schemas.openxmlformats.org/officeDocument/2006/relationships/hyperlink" Target="https://kfnl.gov.sa/Ar/EServices/wfs/Pages/5.aspx" TargetMode="External"/><Relationship Id="rId9" Type="http://schemas.openxmlformats.org/officeDocument/2006/relationships/hyperlink" Target="https://kfnl.gov.sa/Ar/EServices/wfs/Pages/VisitLetter.aspx" TargetMode="External"/><Relationship Id="rId14" Type="http://schemas.openxmlformats.org/officeDocument/2006/relationships/hyperlink" Target="https://kfnl.gov.sa/Ar/EServices/wfs/Pages/127.aspx"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A21FD-EE2B-4C89-9AC8-52EB703E77B4}">
  <dimension ref="D14:P42"/>
  <sheetViews>
    <sheetView showGridLines="0" showRowColHeaders="0" tabSelected="1" zoomScaleNormal="100" workbookViewId="0">
      <selection activeCell="H27" sqref="H27"/>
    </sheetView>
  </sheetViews>
  <sheetFormatPr defaultRowHeight="14.25" x14ac:dyDescent="0.45"/>
  <sheetData>
    <row r="14" spans="16:16" x14ac:dyDescent="0.45">
      <c r="P14" s="52"/>
    </row>
    <row r="30" spans="15:15" x14ac:dyDescent="0.45">
      <c r="O30" t="s">
        <v>127</v>
      </c>
    </row>
    <row r="42" spans="4:4" x14ac:dyDescent="0.45">
      <c r="D42" t="s">
        <v>127</v>
      </c>
    </row>
  </sheetData>
  <pageMargins left="0.7" right="0.7" top="0.75" bottom="0.75" header="0.3" footer="0.3"/>
  <pageSetup paperSize="0" orientation="portrait" horizontalDpi="0" verticalDpi="0" copies="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745A3-8C05-4530-B6D5-D7AAC20211FB}">
  <dimension ref="A4:T59"/>
  <sheetViews>
    <sheetView showGridLines="0" workbookViewId="0">
      <selection activeCell="K22" sqref="K22"/>
    </sheetView>
  </sheetViews>
  <sheetFormatPr defaultRowHeight="11.65" x14ac:dyDescent="0.35"/>
  <cols>
    <col min="1" max="1" width="12.59765625" style="57" customWidth="1"/>
    <col min="2" max="2" width="9.46484375" style="57" bestFit="1" customWidth="1"/>
    <col min="3" max="3" width="8.9296875" style="57" bestFit="1" customWidth="1"/>
    <col min="4" max="6" width="15.265625" style="57" bestFit="1" customWidth="1"/>
    <col min="7" max="7" width="10.06640625" style="57" bestFit="1" customWidth="1"/>
    <col min="8" max="8" width="7.86328125" style="57" bestFit="1" customWidth="1"/>
    <col min="9" max="9" width="15.265625" style="57" bestFit="1" customWidth="1"/>
    <col min="10" max="10" width="8.46484375" style="57" bestFit="1" customWidth="1"/>
    <col min="11" max="11" width="9.06640625" style="57"/>
    <col min="12" max="12" width="12.06640625" style="57" customWidth="1"/>
    <col min="13" max="13" width="3.73046875" style="57" bestFit="1" customWidth="1"/>
    <col min="14" max="14" width="18.33203125" style="57" bestFit="1" customWidth="1"/>
    <col min="15" max="15" width="10" style="57" bestFit="1" customWidth="1"/>
    <col min="16" max="16" width="21.6640625" style="57" bestFit="1" customWidth="1"/>
    <col min="17" max="17" width="7.796875" style="57" bestFit="1" customWidth="1"/>
    <col min="18" max="18" width="21.6640625" style="57" bestFit="1" customWidth="1"/>
    <col min="19" max="19" width="7.265625" style="57" bestFit="1" customWidth="1"/>
    <col min="20" max="20" width="10.19921875" style="57" bestFit="1" customWidth="1"/>
    <col min="21" max="26" width="9.06640625" style="57"/>
    <col min="27" max="27" width="23.86328125" style="57" bestFit="1" customWidth="1"/>
    <col min="28" max="28" width="15.265625" style="57" bestFit="1" customWidth="1"/>
    <col min="29" max="29" width="23.86328125" style="57" bestFit="1" customWidth="1"/>
    <col min="30" max="30" width="15.265625" style="57" bestFit="1" customWidth="1"/>
    <col min="31" max="16384" width="9.06640625" style="57"/>
  </cols>
  <sheetData>
    <row r="4" spans="1:12" ht="18.399999999999999" thickBot="1" x14ac:dyDescent="0.6">
      <c r="A4" s="65" t="s">
        <v>159</v>
      </c>
      <c r="B4" s="71"/>
      <c r="C4" s="65"/>
      <c r="D4" s="65"/>
      <c r="E4" s="65"/>
      <c r="F4" s="65"/>
      <c r="G4" s="65"/>
      <c r="H4" s="65"/>
      <c r="I4" s="65"/>
      <c r="J4" s="65"/>
      <c r="K4" s="71"/>
      <c r="L4" s="71"/>
    </row>
    <row r="6" spans="1:12" ht="12" thickBot="1" x14ac:dyDescent="0.4">
      <c r="B6" s="73" t="s">
        <v>128</v>
      </c>
      <c r="C6" s="73" t="s">
        <v>129</v>
      </c>
      <c r="D6" s="73" t="s">
        <v>130</v>
      </c>
      <c r="E6" s="73" t="s">
        <v>67</v>
      </c>
      <c r="F6" s="73" t="s">
        <v>153</v>
      </c>
    </row>
    <row r="7" spans="1:12" ht="12" thickTop="1" x14ac:dyDescent="0.35">
      <c r="B7" s="58">
        <f>GETPIVOTDATA("total",$B$20)</f>
        <v>151421</v>
      </c>
      <c r="C7" s="59">
        <f>GETPIVOTDATA("event_title",$G$38)</f>
        <v>23</v>
      </c>
      <c r="D7" s="59">
        <f>GETPIVOTDATA("service_name",$B$46)</f>
        <v>17</v>
      </c>
      <c r="E7" s="58">
        <f>GETPIVOTDATA("requests",$B$38)</f>
        <v>27206</v>
      </c>
      <c r="F7" s="58">
        <f>I32</f>
        <v>95.5</v>
      </c>
    </row>
    <row r="8" spans="1:12" x14ac:dyDescent="0.35">
      <c r="B8" s="60"/>
      <c r="C8" s="61"/>
      <c r="D8" s="61"/>
      <c r="E8" s="60"/>
      <c r="F8" s="60"/>
    </row>
    <row r="9" spans="1:12" x14ac:dyDescent="0.35">
      <c r="B9" s="60"/>
      <c r="C9" s="61"/>
      <c r="D9" s="61"/>
      <c r="E9" s="60"/>
      <c r="F9" s="60"/>
    </row>
    <row r="10" spans="1:12" ht="18.399999999999999" thickBot="1" x14ac:dyDescent="0.6">
      <c r="A10" s="80" t="s">
        <v>161</v>
      </c>
      <c r="B10" s="80" t="s">
        <v>162</v>
      </c>
      <c r="C10" s="80"/>
      <c r="D10" s="71"/>
      <c r="E10" s="66"/>
      <c r="F10" s="66"/>
      <c r="G10" s="66"/>
      <c r="H10" s="66"/>
      <c r="I10" s="66"/>
      <c r="J10" s="66"/>
      <c r="K10" s="71"/>
      <c r="L10" s="71"/>
    </row>
    <row r="12" spans="1:12" x14ac:dyDescent="0.35">
      <c r="B12" s="76" t="s">
        <v>160</v>
      </c>
      <c r="C12" s="76" t="s">
        <v>174</v>
      </c>
      <c r="D12" s="76"/>
      <c r="E12" s="76"/>
      <c r="F12" s="76"/>
      <c r="G12" s="76"/>
      <c r="H12" s="76"/>
      <c r="I12" s="76"/>
      <c r="J12" s="76"/>
    </row>
    <row r="13" spans="1:12" x14ac:dyDescent="0.35">
      <c r="B13" s="76" t="s">
        <v>1</v>
      </c>
      <c r="C13" s="76" t="s">
        <v>147</v>
      </c>
      <c r="D13" s="76" t="s">
        <v>179</v>
      </c>
      <c r="E13" s="76" t="s">
        <v>180</v>
      </c>
      <c r="F13" s="76" t="s">
        <v>178</v>
      </c>
      <c r="G13" s="76" t="s">
        <v>181</v>
      </c>
      <c r="H13" s="76" t="s">
        <v>182</v>
      </c>
      <c r="I13" s="76" t="s">
        <v>183</v>
      </c>
      <c r="J13" s="76" t="s">
        <v>20</v>
      </c>
    </row>
    <row r="14" spans="1:12" x14ac:dyDescent="0.35">
      <c r="B14" s="57" t="s">
        <v>135</v>
      </c>
      <c r="C14" s="62">
        <v>473.76923076923077</v>
      </c>
      <c r="D14" s="62">
        <v>447.23076923076923</v>
      </c>
      <c r="E14" s="62">
        <v>436.92307692307691</v>
      </c>
      <c r="F14" s="62">
        <v>437.61538461538464</v>
      </c>
      <c r="G14" s="62">
        <v>412.08333333333331</v>
      </c>
      <c r="H14" s="62"/>
      <c r="I14" s="62"/>
      <c r="J14" s="62">
        <v>441.984375</v>
      </c>
    </row>
    <row r="15" spans="1:12" x14ac:dyDescent="0.35">
      <c r="B15" s="57" t="s">
        <v>134</v>
      </c>
      <c r="C15" s="62">
        <v>659.7</v>
      </c>
      <c r="D15" s="62">
        <v>602.09090909090912</v>
      </c>
      <c r="E15" s="62">
        <v>637.9</v>
      </c>
      <c r="F15" s="62">
        <v>632.79999999999995</v>
      </c>
      <c r="G15" s="62">
        <v>707.88888888888891</v>
      </c>
      <c r="H15" s="62"/>
      <c r="I15" s="62">
        <v>1</v>
      </c>
      <c r="J15" s="62">
        <v>633.31372549019613</v>
      </c>
    </row>
    <row r="16" spans="1:12" x14ac:dyDescent="0.35">
      <c r="B16" s="57" t="s">
        <v>133</v>
      </c>
      <c r="C16" s="62">
        <v>638.75</v>
      </c>
      <c r="D16" s="62">
        <v>614.30769230769226</v>
      </c>
      <c r="E16" s="62">
        <v>597.92307692307691</v>
      </c>
      <c r="F16" s="62">
        <v>611.84615384615381</v>
      </c>
      <c r="G16" s="62">
        <v>606.92307692307691</v>
      </c>
      <c r="H16" s="62"/>
      <c r="I16" s="62"/>
      <c r="J16" s="62">
        <v>613.5625</v>
      </c>
    </row>
    <row r="17" spans="2:20" x14ac:dyDescent="0.35">
      <c r="B17" s="57" t="s">
        <v>132</v>
      </c>
      <c r="C17" s="62">
        <v>818.23076923076928</v>
      </c>
      <c r="D17" s="62">
        <v>801.30769230769226</v>
      </c>
      <c r="E17" s="62">
        <v>756.14285714285711</v>
      </c>
      <c r="F17" s="62">
        <v>792.84615384615381</v>
      </c>
      <c r="G17" s="62">
        <v>739.76923076923072</v>
      </c>
      <c r="H17" s="62">
        <v>2</v>
      </c>
      <c r="I17" s="62">
        <v>1</v>
      </c>
      <c r="J17" s="62">
        <v>758.33823529411768</v>
      </c>
    </row>
    <row r="18" spans="2:20" x14ac:dyDescent="0.35">
      <c r="B18" s="57" t="s">
        <v>20</v>
      </c>
      <c r="C18" s="62">
        <v>647.04166666666663</v>
      </c>
      <c r="D18" s="62">
        <v>616.79999999999995</v>
      </c>
      <c r="E18" s="62">
        <v>608.36</v>
      </c>
      <c r="F18" s="62">
        <v>617.91836734693879</v>
      </c>
      <c r="G18" s="62">
        <v>613.25531914893622</v>
      </c>
      <c r="H18" s="62">
        <v>2</v>
      </c>
      <c r="I18" s="62">
        <v>1</v>
      </c>
      <c r="J18" s="62">
        <v>613.04048582995949</v>
      </c>
    </row>
    <row r="20" spans="2:20" x14ac:dyDescent="0.35">
      <c r="B20" s="76" t="s">
        <v>0</v>
      </c>
      <c r="C20" s="76" t="s">
        <v>173</v>
      </c>
    </row>
    <row r="21" spans="2:20" x14ac:dyDescent="0.35">
      <c r="B21" s="63" t="s">
        <v>136</v>
      </c>
      <c r="C21" s="64">
        <v>10847</v>
      </c>
    </row>
    <row r="22" spans="2:20" x14ac:dyDescent="0.35">
      <c r="B22" s="63" t="s">
        <v>137</v>
      </c>
      <c r="C22" s="64">
        <v>11012</v>
      </c>
      <c r="F22" s="73" t="s">
        <v>150</v>
      </c>
      <c r="G22" s="73" t="s">
        <v>164</v>
      </c>
      <c r="H22" s="73" t="s">
        <v>163</v>
      </c>
      <c r="I22" s="73" t="s">
        <v>158</v>
      </c>
    </row>
    <row r="23" spans="2:20" x14ac:dyDescent="0.35">
      <c r="B23" s="63" t="s">
        <v>138</v>
      </c>
      <c r="C23" s="64">
        <v>6428</v>
      </c>
      <c r="F23" s="57" t="s">
        <v>13</v>
      </c>
      <c r="G23" s="57">
        <v>7</v>
      </c>
      <c r="H23" s="57">
        <v>14</v>
      </c>
      <c r="I23" s="57">
        <f>14+0.5</f>
        <v>14.5</v>
      </c>
    </row>
    <row r="24" spans="2:20" x14ac:dyDescent="0.35">
      <c r="B24" s="63" t="s">
        <v>139</v>
      </c>
      <c r="C24" s="64">
        <v>7712</v>
      </c>
      <c r="F24" s="57" t="s">
        <v>14</v>
      </c>
      <c r="G24" s="57">
        <v>7</v>
      </c>
      <c r="H24" s="57">
        <v>14</v>
      </c>
      <c r="I24" s="57">
        <f>14+0.5</f>
        <v>14.5</v>
      </c>
      <c r="T24" s="68"/>
    </row>
    <row r="25" spans="2:20" x14ac:dyDescent="0.35">
      <c r="B25" s="63" t="s">
        <v>131</v>
      </c>
      <c r="C25" s="64">
        <v>18116</v>
      </c>
      <c r="F25" s="57" t="s">
        <v>15</v>
      </c>
      <c r="G25" s="57">
        <v>7</v>
      </c>
      <c r="H25" s="57">
        <v>14</v>
      </c>
      <c r="I25" s="57">
        <f>14+0.5</f>
        <v>14.5</v>
      </c>
    </row>
    <row r="26" spans="2:20" x14ac:dyDescent="0.35">
      <c r="B26" s="63" t="s">
        <v>140</v>
      </c>
      <c r="C26" s="64">
        <v>6471</v>
      </c>
      <c r="F26" s="57" t="s">
        <v>16</v>
      </c>
      <c r="G26" s="57">
        <v>7</v>
      </c>
      <c r="H26" s="57">
        <v>14</v>
      </c>
      <c r="I26" s="57">
        <f>14+0.5</f>
        <v>14.5</v>
      </c>
    </row>
    <row r="27" spans="2:20" x14ac:dyDescent="0.35">
      <c r="B27" s="63" t="s">
        <v>141</v>
      </c>
      <c r="C27" s="64">
        <v>12344</v>
      </c>
      <c r="F27" s="57" t="s">
        <v>17</v>
      </c>
      <c r="G27" s="57">
        <v>7</v>
      </c>
      <c r="H27" s="57">
        <v>14</v>
      </c>
      <c r="I27" s="57">
        <f>14+0.5</f>
        <v>14.5</v>
      </c>
    </row>
    <row r="28" spans="2:20" x14ac:dyDescent="0.35">
      <c r="B28" s="63" t="s">
        <v>142</v>
      </c>
      <c r="C28" s="64">
        <v>12863</v>
      </c>
      <c r="F28" s="57" t="s">
        <v>18</v>
      </c>
      <c r="G28" s="57">
        <v>0</v>
      </c>
      <c r="H28" s="57">
        <v>11</v>
      </c>
      <c r="I28" s="57">
        <f>11</f>
        <v>11</v>
      </c>
    </row>
    <row r="29" spans="2:20" x14ac:dyDescent="0.35">
      <c r="B29" s="63" t="s">
        <v>143</v>
      </c>
      <c r="C29" s="64">
        <v>14061</v>
      </c>
      <c r="F29" s="57" t="s">
        <v>19</v>
      </c>
      <c r="G29" s="57">
        <v>0</v>
      </c>
      <c r="H29" s="57">
        <v>12</v>
      </c>
      <c r="I29" s="57">
        <v>12</v>
      </c>
    </row>
    <row r="30" spans="2:20" x14ac:dyDescent="0.35">
      <c r="B30" s="63" t="s">
        <v>144</v>
      </c>
      <c r="C30" s="64">
        <v>16745</v>
      </c>
    </row>
    <row r="31" spans="2:20" x14ac:dyDescent="0.35">
      <c r="B31" s="63" t="s">
        <v>145</v>
      </c>
      <c r="C31" s="64">
        <v>14343</v>
      </c>
      <c r="F31" s="73" t="s">
        <v>165</v>
      </c>
      <c r="G31" s="73" t="s">
        <v>152</v>
      </c>
      <c r="H31" s="73" t="s">
        <v>151</v>
      </c>
      <c r="I31" s="73" t="s">
        <v>167</v>
      </c>
    </row>
    <row r="32" spans="2:20" ht="12" thickBot="1" x14ac:dyDescent="0.4">
      <c r="B32" s="63" t="s">
        <v>146</v>
      </c>
      <c r="C32" s="64">
        <v>20479</v>
      </c>
      <c r="F32" s="74" t="s">
        <v>30</v>
      </c>
      <c r="G32" s="74">
        <f>SUM(G23:G29)</f>
        <v>35</v>
      </c>
      <c r="H32" s="74">
        <f>I32-G32</f>
        <v>60.5</v>
      </c>
      <c r="I32" s="75">
        <f>SUM(I23:I29)</f>
        <v>95.5</v>
      </c>
    </row>
    <row r="33" spans="1:12" ht="12" thickTop="1" x14ac:dyDescent="0.35">
      <c r="B33" s="57" t="s">
        <v>20</v>
      </c>
      <c r="C33" s="64">
        <v>151421</v>
      </c>
    </row>
    <row r="36" spans="1:12" ht="18.399999999999999" thickBot="1" x14ac:dyDescent="0.6">
      <c r="A36" s="65" t="s">
        <v>169</v>
      </c>
      <c r="B36" s="65" t="s">
        <v>170</v>
      </c>
      <c r="C36" s="65"/>
      <c r="D36" s="71"/>
      <c r="E36" s="65"/>
      <c r="F36" s="65"/>
      <c r="G36" s="65"/>
      <c r="H36" s="65"/>
      <c r="I36" s="65"/>
      <c r="J36" s="65"/>
      <c r="K36" s="71"/>
      <c r="L36" s="71"/>
    </row>
    <row r="37" spans="1:12" x14ac:dyDescent="0.35">
      <c r="E37" s="68"/>
    </row>
    <row r="38" spans="1:12" x14ac:dyDescent="0.35">
      <c r="B38" s="72" t="s">
        <v>8</v>
      </c>
      <c r="C38" s="72" t="s">
        <v>9</v>
      </c>
      <c r="G38" s="76" t="s">
        <v>1</v>
      </c>
      <c r="H38" s="76" t="s">
        <v>166</v>
      </c>
    </row>
    <row r="39" spans="1:12" x14ac:dyDescent="0.35">
      <c r="B39" s="57" t="s">
        <v>148</v>
      </c>
      <c r="C39" s="57">
        <v>13647</v>
      </c>
      <c r="G39" s="57" t="s">
        <v>135</v>
      </c>
      <c r="H39" s="81">
        <v>4</v>
      </c>
    </row>
    <row r="40" spans="1:12" x14ac:dyDescent="0.35">
      <c r="B40" s="57" t="s">
        <v>23</v>
      </c>
      <c r="C40" s="57">
        <v>10996</v>
      </c>
      <c r="G40" s="57" t="s">
        <v>134</v>
      </c>
      <c r="H40" s="81">
        <v>5</v>
      </c>
    </row>
    <row r="41" spans="1:12" x14ac:dyDescent="0.35">
      <c r="B41" s="57" t="s">
        <v>24</v>
      </c>
      <c r="C41" s="57">
        <v>1784</v>
      </c>
      <c r="G41" s="57" t="s">
        <v>133</v>
      </c>
      <c r="H41" s="81">
        <v>3</v>
      </c>
    </row>
    <row r="42" spans="1:12" x14ac:dyDescent="0.35">
      <c r="B42" s="57" t="s">
        <v>25</v>
      </c>
      <c r="C42" s="57">
        <v>632</v>
      </c>
      <c r="G42" s="57" t="s">
        <v>132</v>
      </c>
      <c r="H42" s="81">
        <v>11</v>
      </c>
    </row>
    <row r="43" spans="1:12" x14ac:dyDescent="0.35">
      <c r="B43" s="57" t="s">
        <v>149</v>
      </c>
      <c r="C43" s="57">
        <v>147</v>
      </c>
      <c r="G43" s="57" t="s">
        <v>20</v>
      </c>
      <c r="H43" s="81">
        <v>23</v>
      </c>
    </row>
    <row r="44" spans="1:12" x14ac:dyDescent="0.35">
      <c r="B44" s="57" t="s">
        <v>20</v>
      </c>
      <c r="C44" s="57">
        <v>27206</v>
      </c>
    </row>
    <row r="46" spans="1:12" x14ac:dyDescent="0.35">
      <c r="B46" s="72" t="s">
        <v>168</v>
      </c>
    </row>
    <row r="47" spans="1:12" x14ac:dyDescent="0.35">
      <c r="B47" s="57">
        <v>17</v>
      </c>
    </row>
    <row r="50" spans="1:12" ht="18.399999999999999" thickBot="1" x14ac:dyDescent="0.6">
      <c r="A50" s="66" t="s">
        <v>175</v>
      </c>
      <c r="B50" s="66" t="s">
        <v>176</v>
      </c>
      <c r="C50" s="67"/>
      <c r="D50" s="67"/>
      <c r="E50" s="67"/>
      <c r="F50" s="67"/>
      <c r="G50" s="67"/>
      <c r="H50" s="67"/>
      <c r="I50" s="67"/>
      <c r="J50" s="71"/>
      <c r="K50" s="71"/>
      <c r="L50" s="71"/>
    </row>
    <row r="52" spans="1:12" x14ac:dyDescent="0.35">
      <c r="B52" s="72" t="s">
        <v>171</v>
      </c>
      <c r="C52" s="72" t="s">
        <v>172</v>
      </c>
      <c r="D52" s="72"/>
      <c r="E52" s="72"/>
    </row>
    <row r="53" spans="1:12" x14ac:dyDescent="0.35">
      <c r="B53" s="72" t="s">
        <v>4</v>
      </c>
      <c r="C53" s="72" t="s">
        <v>5</v>
      </c>
      <c r="D53" s="72" t="s">
        <v>6</v>
      </c>
      <c r="E53" s="72" t="s">
        <v>7</v>
      </c>
    </row>
    <row r="54" spans="1:12" x14ac:dyDescent="0.35">
      <c r="B54" s="57" t="s">
        <v>154</v>
      </c>
      <c r="C54" s="69">
        <v>0.56503496503496509</v>
      </c>
      <c r="D54" s="69">
        <v>4.685314685314685E-2</v>
      </c>
      <c r="E54" s="69">
        <v>0.38811188811188813</v>
      </c>
    </row>
    <row r="55" spans="1:12" ht="23.25" x14ac:dyDescent="0.35">
      <c r="B55" s="70" t="s">
        <v>177</v>
      </c>
      <c r="C55" s="69">
        <v>0.4706293706293706</v>
      </c>
      <c r="D55" s="69">
        <v>0.11188811188811189</v>
      </c>
      <c r="E55" s="69">
        <v>0.41748251748251747</v>
      </c>
    </row>
    <row r="56" spans="1:12" ht="23.25" x14ac:dyDescent="0.35">
      <c r="B56" s="70" t="s">
        <v>155</v>
      </c>
      <c r="C56" s="69">
        <v>0.53776223776223775</v>
      </c>
      <c r="D56" s="69">
        <v>4.5454545454545456E-2</v>
      </c>
      <c r="E56" s="69">
        <v>0.41678321678321678</v>
      </c>
    </row>
    <row r="57" spans="1:12" x14ac:dyDescent="0.35">
      <c r="B57" s="57" t="s">
        <v>156</v>
      </c>
      <c r="C57" s="69">
        <v>0.47762237762237764</v>
      </c>
      <c r="D57" s="69">
        <v>0.11748251748251748</v>
      </c>
      <c r="E57" s="69">
        <v>0.40489510489510488</v>
      </c>
    </row>
    <row r="58" spans="1:12" x14ac:dyDescent="0.35">
      <c r="B58" s="57" t="s">
        <v>157</v>
      </c>
      <c r="C58" s="69">
        <v>0.37972027972027972</v>
      </c>
      <c r="D58" s="69">
        <v>9.6503496503496503E-2</v>
      </c>
      <c r="E58" s="69">
        <v>0.52377622377622379</v>
      </c>
    </row>
    <row r="59" spans="1:12" x14ac:dyDescent="0.35">
      <c r="B59" s="57" t="s">
        <v>20</v>
      </c>
      <c r="C59" s="69">
        <v>0.48615384615384616</v>
      </c>
      <c r="D59" s="69">
        <v>8.3636363636363634E-2</v>
      </c>
      <c r="E59" s="69">
        <v>0.43020979020979022</v>
      </c>
    </row>
  </sheetData>
  <pageMargins left="0.7" right="0.7" top="0.75" bottom="0.75" header="0.3" footer="0.3"/>
  <drawing r:id="rId7"/>
  <tableParts count="2">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F87FA-0801-483A-9282-88E1053D2DE1}">
  <dimension ref="A1:D5"/>
  <sheetViews>
    <sheetView workbookViewId="0">
      <selection activeCell="E28" sqref="E28"/>
    </sheetView>
  </sheetViews>
  <sheetFormatPr defaultRowHeight="14.25" x14ac:dyDescent="0.45"/>
  <cols>
    <col min="1" max="1" width="15" customWidth="1"/>
    <col min="2" max="2" width="19.86328125" customWidth="1"/>
    <col min="3" max="3" width="19.73046875" customWidth="1"/>
    <col min="4" max="4" width="14" customWidth="1"/>
    <col min="8" max="8" width="21.3984375" customWidth="1"/>
    <col min="9" max="9" width="16.53125" customWidth="1"/>
  </cols>
  <sheetData>
    <row r="1" spans="1:4" ht="14.65" thickBot="1" x14ac:dyDescent="0.5">
      <c r="A1" s="54" t="s">
        <v>150</v>
      </c>
      <c r="B1" s="54" t="s">
        <v>186</v>
      </c>
      <c r="C1" s="54" t="s">
        <v>184</v>
      </c>
      <c r="D1" s="54" t="s">
        <v>185</v>
      </c>
    </row>
    <row r="2" spans="1:4" ht="14.65" thickBot="1" x14ac:dyDescent="0.5">
      <c r="A2" s="55" t="s">
        <v>187</v>
      </c>
      <c r="B2" s="77" t="s">
        <v>152</v>
      </c>
      <c r="C2" s="78">
        <v>0.3125</v>
      </c>
      <c r="D2" s="78">
        <v>0.60416666666666663</v>
      </c>
    </row>
    <row r="3" spans="1:4" x14ac:dyDescent="0.45">
      <c r="A3" s="55" t="s">
        <v>187</v>
      </c>
      <c r="B3" s="56" t="s">
        <v>188</v>
      </c>
      <c r="C3" s="79">
        <v>0.33333333333333331</v>
      </c>
      <c r="D3" s="79">
        <v>0.91666666666666663</v>
      </c>
    </row>
    <row r="4" spans="1:4" x14ac:dyDescent="0.45">
      <c r="A4" s="56" t="s">
        <v>18</v>
      </c>
      <c r="B4" s="56" t="s">
        <v>188</v>
      </c>
      <c r="C4" s="79">
        <v>0.54166666666666663</v>
      </c>
      <c r="D4" s="79">
        <v>0</v>
      </c>
    </row>
    <row r="5" spans="1:4" x14ac:dyDescent="0.45">
      <c r="A5" s="55" t="s">
        <v>19</v>
      </c>
      <c r="B5" s="56" t="s">
        <v>188</v>
      </c>
      <c r="C5" s="78">
        <v>0.41666666666666669</v>
      </c>
      <c r="D5" s="78">
        <v>0.91666666666666663</v>
      </c>
    </row>
  </sheetData>
  <phoneticPr fontId="6" type="noConversion"/>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248"/>
  <sheetViews>
    <sheetView topLeftCell="A220" workbookViewId="0">
      <selection activeCell="H29" sqref="H29"/>
    </sheetView>
  </sheetViews>
  <sheetFormatPr defaultRowHeight="14.25" x14ac:dyDescent="0.45"/>
  <cols>
    <col min="1" max="2" width="12.73046875" style="10" customWidth="1"/>
    <col min="3" max="3" width="18.1328125" style="16" customWidth="1"/>
    <col min="4" max="4" width="10.86328125" customWidth="1"/>
  </cols>
  <sheetData>
    <row r="1" spans="1:7" ht="24" customHeight="1" x14ac:dyDescent="0.45">
      <c r="A1" s="11" t="s">
        <v>1</v>
      </c>
      <c r="B1" s="53" t="s">
        <v>0</v>
      </c>
      <c r="C1" s="14" t="s">
        <v>27</v>
      </c>
      <c r="D1" s="1" t="s">
        <v>10</v>
      </c>
      <c r="E1" s="1" t="s">
        <v>28</v>
      </c>
      <c r="F1" s="1" t="s">
        <v>29</v>
      </c>
      <c r="G1" s="1" t="s">
        <v>30</v>
      </c>
    </row>
    <row r="2" spans="1:7" x14ac:dyDescent="0.45">
      <c r="A2" s="13" t="str">
        <f t="shared" ref="A2:A65" si="0">"Q"&amp;ROUNDUP(MONTH(C2)/3,0)</f>
        <v>Q1</v>
      </c>
      <c r="B2" s="12" t="str">
        <f t="shared" ref="B2:B65" si="1">TEXT(C2,"mmm")</f>
        <v>Jan</v>
      </c>
      <c r="C2" s="15">
        <v>45292</v>
      </c>
      <c r="D2" s="2" t="s">
        <v>14</v>
      </c>
      <c r="E2" s="3">
        <v>255</v>
      </c>
      <c r="F2" s="3">
        <v>206</v>
      </c>
      <c r="G2" s="3">
        <v>461</v>
      </c>
    </row>
    <row r="3" spans="1:7" x14ac:dyDescent="0.45">
      <c r="A3" s="13" t="str">
        <f t="shared" si="0"/>
        <v>Q1</v>
      </c>
      <c r="B3" s="12" t="str">
        <f t="shared" si="1"/>
        <v>Jan</v>
      </c>
      <c r="C3" s="15">
        <v>45293</v>
      </c>
      <c r="D3" s="2" t="s">
        <v>15</v>
      </c>
      <c r="E3" s="3">
        <v>233</v>
      </c>
      <c r="F3" s="3">
        <v>178</v>
      </c>
      <c r="G3" s="3">
        <v>411</v>
      </c>
    </row>
    <row r="4" spans="1:7" x14ac:dyDescent="0.45">
      <c r="A4" s="13" t="str">
        <f t="shared" si="0"/>
        <v>Q1</v>
      </c>
      <c r="B4" s="12" t="str">
        <f t="shared" si="1"/>
        <v>Jan</v>
      </c>
      <c r="C4" s="15">
        <v>45294</v>
      </c>
      <c r="D4" s="2" t="s">
        <v>16</v>
      </c>
      <c r="E4" s="3">
        <v>234</v>
      </c>
      <c r="F4" s="3">
        <v>183</v>
      </c>
      <c r="G4" s="3">
        <v>417</v>
      </c>
    </row>
    <row r="5" spans="1:7" x14ac:dyDescent="0.45">
      <c r="A5" s="13" t="str">
        <f t="shared" si="0"/>
        <v>Q1</v>
      </c>
      <c r="B5" s="12" t="str">
        <f t="shared" si="1"/>
        <v>Jan</v>
      </c>
      <c r="C5" s="15">
        <v>45295</v>
      </c>
      <c r="D5" s="2" t="s">
        <v>17</v>
      </c>
      <c r="E5" s="3">
        <v>232</v>
      </c>
      <c r="F5" s="3">
        <v>163</v>
      </c>
      <c r="G5" s="3">
        <v>395</v>
      </c>
    </row>
    <row r="6" spans="1:7" x14ac:dyDescent="0.45">
      <c r="A6" s="13" t="str">
        <f t="shared" si="0"/>
        <v>Q1</v>
      </c>
      <c r="B6" s="12" t="str">
        <f t="shared" si="1"/>
        <v>Jan</v>
      </c>
      <c r="C6" s="15">
        <v>45298</v>
      </c>
      <c r="D6" s="2" t="s">
        <v>13</v>
      </c>
      <c r="E6" s="3">
        <v>279</v>
      </c>
      <c r="F6" s="3">
        <v>242</v>
      </c>
      <c r="G6" s="3">
        <v>521</v>
      </c>
    </row>
    <row r="7" spans="1:7" x14ac:dyDescent="0.45">
      <c r="A7" s="13" t="str">
        <f t="shared" si="0"/>
        <v>Q1</v>
      </c>
      <c r="B7" s="12" t="str">
        <f t="shared" si="1"/>
        <v>Jan</v>
      </c>
      <c r="C7" s="15">
        <v>45299</v>
      </c>
      <c r="D7" s="2" t="s">
        <v>14</v>
      </c>
      <c r="E7" s="3">
        <v>256</v>
      </c>
      <c r="F7" s="3">
        <v>200</v>
      </c>
      <c r="G7" s="3">
        <v>456</v>
      </c>
    </row>
    <row r="8" spans="1:7" x14ac:dyDescent="0.45">
      <c r="A8" s="13" t="str">
        <f t="shared" si="0"/>
        <v>Q1</v>
      </c>
      <c r="B8" s="12" t="str">
        <f t="shared" si="1"/>
        <v>Jan</v>
      </c>
      <c r="C8" s="15">
        <v>45300</v>
      </c>
      <c r="D8" s="2" t="s">
        <v>15</v>
      </c>
      <c r="E8" s="3">
        <v>187</v>
      </c>
      <c r="F8" s="3">
        <v>157</v>
      </c>
      <c r="G8" s="3">
        <v>344</v>
      </c>
    </row>
    <row r="9" spans="1:7" x14ac:dyDescent="0.45">
      <c r="A9" s="13" t="str">
        <f t="shared" si="0"/>
        <v>Q1</v>
      </c>
      <c r="B9" s="12" t="str">
        <f t="shared" si="1"/>
        <v>Jan</v>
      </c>
      <c r="C9" s="15">
        <v>45301</v>
      </c>
      <c r="D9" s="2" t="s">
        <v>16</v>
      </c>
      <c r="E9" s="3">
        <v>260</v>
      </c>
      <c r="F9" s="3">
        <v>210</v>
      </c>
      <c r="G9" s="3">
        <v>470</v>
      </c>
    </row>
    <row r="10" spans="1:7" x14ac:dyDescent="0.45">
      <c r="A10" s="13" t="str">
        <f t="shared" si="0"/>
        <v>Q1</v>
      </c>
      <c r="B10" s="12" t="str">
        <f t="shared" si="1"/>
        <v>Jan</v>
      </c>
      <c r="C10" s="15">
        <v>45302</v>
      </c>
      <c r="D10" s="2" t="s">
        <v>17</v>
      </c>
      <c r="E10" s="3">
        <v>234</v>
      </c>
      <c r="F10" s="3">
        <v>172</v>
      </c>
      <c r="G10" s="3">
        <v>406</v>
      </c>
    </row>
    <row r="11" spans="1:7" x14ac:dyDescent="0.45">
      <c r="A11" s="13" t="str">
        <f t="shared" si="0"/>
        <v>Q1</v>
      </c>
      <c r="B11" s="12" t="str">
        <f t="shared" si="1"/>
        <v>Jan</v>
      </c>
      <c r="C11" s="15">
        <v>45305</v>
      </c>
      <c r="D11" s="2" t="s">
        <v>13</v>
      </c>
      <c r="E11" s="3">
        <v>242</v>
      </c>
      <c r="F11" s="3">
        <v>209</v>
      </c>
      <c r="G11" s="3">
        <v>451</v>
      </c>
    </row>
    <row r="12" spans="1:7" x14ac:dyDescent="0.45">
      <c r="A12" s="13" t="str">
        <f t="shared" si="0"/>
        <v>Q1</v>
      </c>
      <c r="B12" s="12" t="str">
        <f t="shared" si="1"/>
        <v>Jan</v>
      </c>
      <c r="C12" s="15">
        <v>45306</v>
      </c>
      <c r="D12" s="2" t="s">
        <v>14</v>
      </c>
      <c r="E12" s="3">
        <v>285</v>
      </c>
      <c r="F12" s="3">
        <v>199</v>
      </c>
      <c r="G12" s="3">
        <v>484</v>
      </c>
    </row>
    <row r="13" spans="1:7" x14ac:dyDescent="0.45">
      <c r="A13" s="13" t="str">
        <f t="shared" si="0"/>
        <v>Q1</v>
      </c>
      <c r="B13" s="12" t="str">
        <f t="shared" si="1"/>
        <v>Jan</v>
      </c>
      <c r="C13" s="15">
        <v>45307</v>
      </c>
      <c r="D13" s="2" t="s">
        <v>15</v>
      </c>
      <c r="E13" s="3">
        <v>267</v>
      </c>
      <c r="F13" s="3">
        <v>225</v>
      </c>
      <c r="G13" s="3">
        <v>492</v>
      </c>
    </row>
    <row r="14" spans="1:7" x14ac:dyDescent="0.45">
      <c r="A14" s="13" t="str">
        <f t="shared" si="0"/>
        <v>Q1</v>
      </c>
      <c r="B14" s="12" t="str">
        <f t="shared" si="1"/>
        <v>Jan</v>
      </c>
      <c r="C14" s="15">
        <v>45308</v>
      </c>
      <c r="D14" s="2" t="s">
        <v>16</v>
      </c>
      <c r="E14" s="3">
        <v>248</v>
      </c>
      <c r="F14" s="3">
        <v>236</v>
      </c>
      <c r="G14" s="3">
        <v>484</v>
      </c>
    </row>
    <row r="15" spans="1:7" x14ac:dyDescent="0.45">
      <c r="A15" s="13" t="str">
        <f t="shared" si="0"/>
        <v>Q1</v>
      </c>
      <c r="B15" s="12" t="str">
        <f t="shared" si="1"/>
        <v>Jan</v>
      </c>
      <c r="C15" s="15">
        <v>45309</v>
      </c>
      <c r="D15" s="2" t="s">
        <v>17</v>
      </c>
      <c r="E15" s="3">
        <v>219</v>
      </c>
      <c r="F15" s="3">
        <v>214</v>
      </c>
      <c r="G15" s="3">
        <v>433</v>
      </c>
    </row>
    <row r="16" spans="1:7" x14ac:dyDescent="0.45">
      <c r="A16" s="13" t="str">
        <f t="shared" si="0"/>
        <v>Q1</v>
      </c>
      <c r="B16" s="12" t="str">
        <f t="shared" si="1"/>
        <v>Jan</v>
      </c>
      <c r="C16" s="15">
        <v>45312</v>
      </c>
      <c r="D16" s="2" t="s">
        <v>13</v>
      </c>
      <c r="E16" s="3">
        <v>252</v>
      </c>
      <c r="F16" s="3">
        <v>238</v>
      </c>
      <c r="G16" s="3">
        <v>490</v>
      </c>
    </row>
    <row r="17" spans="1:7" x14ac:dyDescent="0.45">
      <c r="A17" s="13" t="str">
        <f t="shared" si="0"/>
        <v>Q1</v>
      </c>
      <c r="B17" s="12" t="str">
        <f t="shared" si="1"/>
        <v>Jan</v>
      </c>
      <c r="C17" s="15">
        <v>45313</v>
      </c>
      <c r="D17" s="2" t="s">
        <v>14</v>
      </c>
      <c r="E17" s="3">
        <v>268</v>
      </c>
      <c r="F17" s="3">
        <v>207</v>
      </c>
      <c r="G17" s="3">
        <v>475</v>
      </c>
    </row>
    <row r="18" spans="1:7" x14ac:dyDescent="0.45">
      <c r="A18" s="13" t="str">
        <f t="shared" si="0"/>
        <v>Q1</v>
      </c>
      <c r="B18" s="12" t="str">
        <f t="shared" si="1"/>
        <v>Jan</v>
      </c>
      <c r="C18" s="15">
        <v>45314</v>
      </c>
      <c r="D18" s="2" t="s">
        <v>15</v>
      </c>
      <c r="E18" s="3">
        <v>257</v>
      </c>
      <c r="F18" s="3">
        <v>252</v>
      </c>
      <c r="G18" s="3">
        <v>509</v>
      </c>
    </row>
    <row r="19" spans="1:7" x14ac:dyDescent="0.45">
      <c r="A19" s="13" t="str">
        <f t="shared" si="0"/>
        <v>Q1</v>
      </c>
      <c r="B19" s="12" t="str">
        <f t="shared" si="1"/>
        <v>Jan</v>
      </c>
      <c r="C19" s="15">
        <v>45315</v>
      </c>
      <c r="D19" s="2" t="s">
        <v>16</v>
      </c>
      <c r="E19" s="3">
        <v>296</v>
      </c>
      <c r="F19" s="3">
        <v>211</v>
      </c>
      <c r="G19" s="3">
        <v>507</v>
      </c>
    </row>
    <row r="20" spans="1:7" x14ac:dyDescent="0.45">
      <c r="A20" s="13" t="str">
        <f t="shared" si="0"/>
        <v>Q1</v>
      </c>
      <c r="B20" s="12" t="str">
        <f t="shared" si="1"/>
        <v>Jan</v>
      </c>
      <c r="C20" s="15">
        <v>45316</v>
      </c>
      <c r="D20" s="2" t="s">
        <v>17</v>
      </c>
      <c r="E20" s="3">
        <v>240</v>
      </c>
      <c r="F20" s="3">
        <v>248</v>
      </c>
      <c r="G20" s="3">
        <v>488</v>
      </c>
    </row>
    <row r="21" spans="1:7" x14ac:dyDescent="0.45">
      <c r="A21" s="13" t="str">
        <f t="shared" si="0"/>
        <v>Q1</v>
      </c>
      <c r="B21" s="12" t="str">
        <f t="shared" si="1"/>
        <v>Jan</v>
      </c>
      <c r="C21" s="15">
        <v>45319</v>
      </c>
      <c r="D21" s="2" t="s">
        <v>13</v>
      </c>
      <c r="E21" s="3">
        <v>352</v>
      </c>
      <c r="F21" s="3">
        <v>344</v>
      </c>
      <c r="G21" s="3">
        <v>696</v>
      </c>
    </row>
    <row r="22" spans="1:7" x14ac:dyDescent="0.45">
      <c r="A22" s="13" t="str">
        <f t="shared" si="0"/>
        <v>Q1</v>
      </c>
      <c r="B22" s="12" t="str">
        <f t="shared" si="1"/>
        <v>Jan</v>
      </c>
      <c r="C22" s="15">
        <v>45320</v>
      </c>
      <c r="D22" s="2" t="s">
        <v>14</v>
      </c>
      <c r="E22" s="3">
        <v>279</v>
      </c>
      <c r="F22" s="3">
        <v>221</v>
      </c>
      <c r="G22" s="3">
        <v>500</v>
      </c>
    </row>
    <row r="23" spans="1:7" x14ac:dyDescent="0.45">
      <c r="A23" s="13" t="str">
        <f t="shared" si="0"/>
        <v>Q1</v>
      </c>
      <c r="B23" s="12" t="str">
        <f t="shared" si="1"/>
        <v>Jan</v>
      </c>
      <c r="C23" s="15">
        <v>45321</v>
      </c>
      <c r="D23" s="2" t="s">
        <v>15</v>
      </c>
      <c r="E23" s="3">
        <v>265</v>
      </c>
      <c r="F23" s="3">
        <v>219</v>
      </c>
      <c r="G23" s="3">
        <v>484</v>
      </c>
    </row>
    <row r="24" spans="1:7" x14ac:dyDescent="0.45">
      <c r="A24" s="13" t="str">
        <f t="shared" si="0"/>
        <v>Q1</v>
      </c>
      <c r="B24" s="12" t="str">
        <f t="shared" si="1"/>
        <v>Jan</v>
      </c>
      <c r="C24" s="15">
        <v>45322</v>
      </c>
      <c r="D24" s="2" t="s">
        <v>16</v>
      </c>
      <c r="E24" s="3">
        <v>227</v>
      </c>
      <c r="F24" s="3">
        <v>246</v>
      </c>
      <c r="G24" s="3">
        <v>473</v>
      </c>
    </row>
    <row r="25" spans="1:7" x14ac:dyDescent="0.45">
      <c r="A25" s="13" t="str">
        <f t="shared" si="0"/>
        <v>Q1</v>
      </c>
      <c r="B25" s="12" t="str">
        <f t="shared" si="1"/>
        <v>Feb</v>
      </c>
      <c r="C25" s="15">
        <v>45323</v>
      </c>
      <c r="D25" s="2" t="s">
        <v>17</v>
      </c>
      <c r="E25" s="3">
        <v>248</v>
      </c>
      <c r="F25" s="3">
        <v>246</v>
      </c>
      <c r="G25" s="3">
        <v>494</v>
      </c>
    </row>
    <row r="26" spans="1:7" x14ac:dyDescent="0.45">
      <c r="A26" s="13" t="str">
        <f t="shared" si="0"/>
        <v>Q1</v>
      </c>
      <c r="B26" s="12" t="str">
        <f t="shared" si="1"/>
        <v>Feb</v>
      </c>
      <c r="C26" s="15">
        <v>45326</v>
      </c>
      <c r="D26" s="2" t="s">
        <v>13</v>
      </c>
      <c r="E26" s="3">
        <v>311</v>
      </c>
      <c r="F26" s="3">
        <v>259</v>
      </c>
      <c r="G26" s="3">
        <v>570</v>
      </c>
    </row>
    <row r="27" spans="1:7" x14ac:dyDescent="0.45">
      <c r="A27" s="13" t="str">
        <f t="shared" si="0"/>
        <v>Q1</v>
      </c>
      <c r="B27" s="12" t="str">
        <f t="shared" si="1"/>
        <v>Feb</v>
      </c>
      <c r="C27" s="15">
        <v>45327</v>
      </c>
      <c r="D27" s="2" t="s">
        <v>14</v>
      </c>
      <c r="E27" s="3">
        <v>284</v>
      </c>
      <c r="F27" s="3">
        <v>253</v>
      </c>
      <c r="G27" s="3">
        <v>537</v>
      </c>
    </row>
    <row r="28" spans="1:7" x14ac:dyDescent="0.45">
      <c r="A28" s="13" t="str">
        <f t="shared" si="0"/>
        <v>Q1</v>
      </c>
      <c r="B28" s="12" t="str">
        <f t="shared" si="1"/>
        <v>Feb</v>
      </c>
      <c r="C28" s="15">
        <v>45328</v>
      </c>
      <c r="D28" s="2" t="s">
        <v>15</v>
      </c>
      <c r="E28" s="3">
        <v>292</v>
      </c>
      <c r="F28" s="3">
        <v>259</v>
      </c>
      <c r="G28" s="3">
        <v>551</v>
      </c>
    </row>
    <row r="29" spans="1:7" x14ac:dyDescent="0.45">
      <c r="A29" s="13" t="str">
        <f t="shared" si="0"/>
        <v>Q1</v>
      </c>
      <c r="B29" s="12" t="str">
        <f t="shared" si="1"/>
        <v>Feb</v>
      </c>
      <c r="C29" s="15">
        <v>45329</v>
      </c>
      <c r="D29" s="2" t="s">
        <v>16</v>
      </c>
      <c r="E29" s="3">
        <v>298</v>
      </c>
      <c r="F29" s="3">
        <v>258</v>
      </c>
      <c r="G29" s="3">
        <v>556</v>
      </c>
    </row>
    <row r="30" spans="1:7" x14ac:dyDescent="0.45">
      <c r="A30" s="13" t="str">
        <f t="shared" si="0"/>
        <v>Q1</v>
      </c>
      <c r="B30" s="12" t="str">
        <f t="shared" si="1"/>
        <v>Feb</v>
      </c>
      <c r="C30" s="15">
        <v>45330</v>
      </c>
      <c r="D30" s="2" t="s">
        <v>17</v>
      </c>
      <c r="E30" s="3">
        <v>253</v>
      </c>
      <c r="F30" s="3">
        <v>290</v>
      </c>
      <c r="G30" s="3">
        <v>543</v>
      </c>
    </row>
    <row r="31" spans="1:7" x14ac:dyDescent="0.45">
      <c r="A31" s="13" t="str">
        <f t="shared" si="0"/>
        <v>Q1</v>
      </c>
      <c r="B31" s="12" t="str">
        <f t="shared" si="1"/>
        <v>Feb</v>
      </c>
      <c r="C31" s="15">
        <v>45333</v>
      </c>
      <c r="D31" s="2" t="s">
        <v>13</v>
      </c>
      <c r="E31" s="3">
        <v>331</v>
      </c>
      <c r="F31" s="3">
        <v>287</v>
      </c>
      <c r="G31" s="3">
        <v>618</v>
      </c>
    </row>
    <row r="32" spans="1:7" x14ac:dyDescent="0.45">
      <c r="A32" s="13" t="str">
        <f t="shared" si="0"/>
        <v>Q1</v>
      </c>
      <c r="B32" s="12" t="str">
        <f t="shared" si="1"/>
        <v>Feb</v>
      </c>
      <c r="C32" s="15">
        <v>45334</v>
      </c>
      <c r="D32" s="2" t="s">
        <v>14</v>
      </c>
      <c r="E32" s="3">
        <v>331</v>
      </c>
      <c r="F32" s="3">
        <v>298</v>
      </c>
      <c r="G32" s="3">
        <v>629</v>
      </c>
    </row>
    <row r="33" spans="1:7" x14ac:dyDescent="0.45">
      <c r="A33" s="13" t="str">
        <f t="shared" si="0"/>
        <v>Q1</v>
      </c>
      <c r="B33" s="12" t="str">
        <f t="shared" si="1"/>
        <v>Feb</v>
      </c>
      <c r="C33" s="15">
        <v>45335</v>
      </c>
      <c r="D33" s="2" t="s">
        <v>15</v>
      </c>
      <c r="E33" s="3">
        <v>320</v>
      </c>
      <c r="F33" s="3">
        <v>256</v>
      </c>
      <c r="G33" s="3">
        <v>576</v>
      </c>
    </row>
    <row r="34" spans="1:7" x14ac:dyDescent="0.45">
      <c r="A34" s="13" t="str">
        <f t="shared" si="0"/>
        <v>Q1</v>
      </c>
      <c r="B34" s="12" t="str">
        <f t="shared" si="1"/>
        <v>Feb</v>
      </c>
      <c r="C34" s="15">
        <v>45336</v>
      </c>
      <c r="D34" s="2" t="s">
        <v>16</v>
      </c>
      <c r="E34" s="3">
        <v>307</v>
      </c>
      <c r="F34" s="3">
        <v>258</v>
      </c>
      <c r="G34" s="3">
        <v>565</v>
      </c>
    </row>
    <row r="35" spans="1:7" x14ac:dyDescent="0.45">
      <c r="A35" s="13" t="str">
        <f t="shared" si="0"/>
        <v>Q1</v>
      </c>
      <c r="B35" s="12" t="str">
        <f t="shared" si="1"/>
        <v>Feb</v>
      </c>
      <c r="C35" s="15">
        <v>45337</v>
      </c>
      <c r="D35" s="2" t="s">
        <v>17</v>
      </c>
      <c r="E35" s="3">
        <v>279</v>
      </c>
      <c r="F35" s="3">
        <v>239</v>
      </c>
      <c r="G35" s="3">
        <v>518</v>
      </c>
    </row>
    <row r="36" spans="1:7" x14ac:dyDescent="0.45">
      <c r="A36" s="13" t="str">
        <f t="shared" si="0"/>
        <v>Q1</v>
      </c>
      <c r="B36" s="12" t="str">
        <f t="shared" si="1"/>
        <v>Feb</v>
      </c>
      <c r="C36" s="15">
        <v>45340</v>
      </c>
      <c r="D36" s="2" t="s">
        <v>13</v>
      </c>
      <c r="E36" s="3">
        <v>309</v>
      </c>
      <c r="F36" s="3">
        <v>244</v>
      </c>
      <c r="G36" s="3">
        <v>553</v>
      </c>
    </row>
    <row r="37" spans="1:7" x14ac:dyDescent="0.45">
      <c r="A37" s="13" t="str">
        <f t="shared" si="0"/>
        <v>Q1</v>
      </c>
      <c r="B37" s="12" t="str">
        <f t="shared" si="1"/>
        <v>Feb</v>
      </c>
      <c r="C37" s="15">
        <v>45341</v>
      </c>
      <c r="D37" s="2" t="s">
        <v>14</v>
      </c>
      <c r="E37" s="3">
        <v>278</v>
      </c>
      <c r="F37" s="3">
        <v>199</v>
      </c>
      <c r="G37" s="3">
        <v>477</v>
      </c>
    </row>
    <row r="38" spans="1:7" x14ac:dyDescent="0.45">
      <c r="A38" s="13" t="str">
        <f t="shared" si="0"/>
        <v>Q1</v>
      </c>
      <c r="B38" s="12" t="str">
        <f t="shared" si="1"/>
        <v>Feb</v>
      </c>
      <c r="C38" s="15">
        <v>45342</v>
      </c>
      <c r="D38" s="2" t="s">
        <v>15</v>
      </c>
      <c r="E38" s="3">
        <v>261</v>
      </c>
      <c r="F38" s="3">
        <v>220</v>
      </c>
      <c r="G38" s="3">
        <v>481</v>
      </c>
    </row>
    <row r="39" spans="1:7" x14ac:dyDescent="0.45">
      <c r="A39" s="13" t="str">
        <f t="shared" si="0"/>
        <v>Q1</v>
      </c>
      <c r="B39" s="12" t="str">
        <f t="shared" si="1"/>
        <v>Feb</v>
      </c>
      <c r="C39" s="15">
        <v>45343</v>
      </c>
      <c r="D39" s="2" t="s">
        <v>16</v>
      </c>
      <c r="E39" s="3">
        <v>222</v>
      </c>
      <c r="F39" s="3">
        <v>167</v>
      </c>
      <c r="G39" s="3">
        <v>389</v>
      </c>
    </row>
    <row r="40" spans="1:7" x14ac:dyDescent="0.45">
      <c r="A40" s="13" t="str">
        <f t="shared" si="0"/>
        <v>Q1</v>
      </c>
      <c r="B40" s="12" t="str">
        <f t="shared" si="1"/>
        <v>Feb</v>
      </c>
      <c r="C40" s="15">
        <v>45347</v>
      </c>
      <c r="D40" s="2" t="s">
        <v>13</v>
      </c>
      <c r="E40" s="3">
        <v>309</v>
      </c>
      <c r="F40" s="3">
        <v>290</v>
      </c>
      <c r="G40" s="3">
        <v>599</v>
      </c>
    </row>
    <row r="41" spans="1:7" x14ac:dyDescent="0.45">
      <c r="A41" s="13" t="str">
        <f t="shared" si="0"/>
        <v>Q1</v>
      </c>
      <c r="B41" s="12" t="str">
        <f t="shared" si="1"/>
        <v>Feb</v>
      </c>
      <c r="C41" s="15">
        <v>45348</v>
      </c>
      <c r="D41" s="2" t="s">
        <v>14</v>
      </c>
      <c r="E41" s="3">
        <v>320</v>
      </c>
      <c r="F41" s="3">
        <v>293</v>
      </c>
      <c r="G41" s="3">
        <v>613</v>
      </c>
    </row>
    <row r="42" spans="1:7" x14ac:dyDescent="0.45">
      <c r="A42" s="13" t="str">
        <f t="shared" si="0"/>
        <v>Q1</v>
      </c>
      <c r="B42" s="12" t="str">
        <f t="shared" si="1"/>
        <v>Feb</v>
      </c>
      <c r="C42" s="15">
        <v>45349</v>
      </c>
      <c r="D42" s="2" t="s">
        <v>15</v>
      </c>
      <c r="E42" s="3">
        <v>310</v>
      </c>
      <c r="F42" s="3">
        <v>312</v>
      </c>
      <c r="G42" s="3">
        <v>622</v>
      </c>
    </row>
    <row r="43" spans="1:7" x14ac:dyDescent="0.45">
      <c r="A43" s="13" t="str">
        <f t="shared" si="0"/>
        <v>Q1</v>
      </c>
      <c r="B43" s="12" t="str">
        <f t="shared" si="1"/>
        <v>Feb</v>
      </c>
      <c r="C43" s="15">
        <v>45350</v>
      </c>
      <c r="D43" s="2" t="s">
        <v>16</v>
      </c>
      <c r="E43" s="3">
        <v>309</v>
      </c>
      <c r="F43" s="3">
        <v>286</v>
      </c>
      <c r="G43" s="3">
        <v>595</v>
      </c>
    </row>
    <row r="44" spans="1:7" x14ac:dyDescent="0.45">
      <c r="A44" s="13" t="str">
        <f t="shared" si="0"/>
        <v>Q1</v>
      </c>
      <c r="B44" s="12" t="str">
        <f t="shared" si="1"/>
        <v>Feb</v>
      </c>
      <c r="C44" s="15">
        <v>45351</v>
      </c>
      <c r="D44" s="2" t="s">
        <v>17</v>
      </c>
      <c r="E44" s="3">
        <v>256</v>
      </c>
      <c r="F44" s="3">
        <v>270</v>
      </c>
      <c r="G44" s="3">
        <v>526</v>
      </c>
    </row>
    <row r="45" spans="1:7" x14ac:dyDescent="0.45">
      <c r="A45" s="13" t="str">
        <f t="shared" si="0"/>
        <v>Q1</v>
      </c>
      <c r="B45" s="12" t="str">
        <f t="shared" si="1"/>
        <v>Mar</v>
      </c>
      <c r="C45" s="15">
        <v>45354</v>
      </c>
      <c r="D45" s="2" t="s">
        <v>13</v>
      </c>
      <c r="E45" s="3">
        <v>303</v>
      </c>
      <c r="F45" s="3">
        <v>237</v>
      </c>
      <c r="G45" s="3">
        <v>540</v>
      </c>
    </row>
    <row r="46" spans="1:7" x14ac:dyDescent="0.45">
      <c r="A46" s="13" t="str">
        <f t="shared" si="0"/>
        <v>Q1</v>
      </c>
      <c r="B46" s="12" t="str">
        <f t="shared" si="1"/>
        <v>Mar</v>
      </c>
      <c r="C46" s="15">
        <v>45355</v>
      </c>
      <c r="D46" s="2" t="s">
        <v>14</v>
      </c>
      <c r="E46" s="3">
        <v>284</v>
      </c>
      <c r="F46" s="3">
        <v>216</v>
      </c>
      <c r="G46" s="3">
        <v>500</v>
      </c>
    </row>
    <row r="47" spans="1:7" x14ac:dyDescent="0.45">
      <c r="A47" s="13" t="str">
        <f t="shared" si="0"/>
        <v>Q1</v>
      </c>
      <c r="B47" s="12" t="str">
        <f t="shared" si="1"/>
        <v>Mar</v>
      </c>
      <c r="C47" s="15">
        <v>45356</v>
      </c>
      <c r="D47" s="2" t="s">
        <v>15</v>
      </c>
      <c r="E47" s="3">
        <v>270</v>
      </c>
      <c r="F47" s="3">
        <v>241</v>
      </c>
      <c r="G47" s="3">
        <v>511</v>
      </c>
    </row>
    <row r="48" spans="1:7" x14ac:dyDescent="0.45">
      <c r="A48" s="13" t="str">
        <f t="shared" si="0"/>
        <v>Q1</v>
      </c>
      <c r="B48" s="12" t="str">
        <f t="shared" si="1"/>
        <v>Mar</v>
      </c>
      <c r="C48" s="15">
        <v>45357</v>
      </c>
      <c r="D48" s="2" t="s">
        <v>16</v>
      </c>
      <c r="E48" s="3">
        <v>286</v>
      </c>
      <c r="F48" s="3">
        <v>244</v>
      </c>
      <c r="G48" s="3">
        <v>530</v>
      </c>
    </row>
    <row r="49" spans="1:7" x14ac:dyDescent="0.45">
      <c r="A49" s="13" t="str">
        <f t="shared" si="0"/>
        <v>Q1</v>
      </c>
      <c r="B49" s="12" t="str">
        <f t="shared" si="1"/>
        <v>Mar</v>
      </c>
      <c r="C49" s="15">
        <v>45358</v>
      </c>
      <c r="D49" s="2" t="s">
        <v>17</v>
      </c>
      <c r="E49" s="3">
        <v>279</v>
      </c>
      <c r="F49" s="3">
        <v>238</v>
      </c>
      <c r="G49" s="3">
        <v>517</v>
      </c>
    </row>
    <row r="50" spans="1:7" x14ac:dyDescent="0.45">
      <c r="A50" s="13" t="str">
        <f t="shared" si="0"/>
        <v>Q1</v>
      </c>
      <c r="B50" s="12" t="str">
        <f t="shared" si="1"/>
        <v>Mar</v>
      </c>
      <c r="C50" s="15">
        <v>45361</v>
      </c>
      <c r="D50" s="2" t="s">
        <v>13</v>
      </c>
      <c r="E50" s="3">
        <v>204</v>
      </c>
      <c r="F50" s="3">
        <v>207</v>
      </c>
      <c r="G50" s="3">
        <v>411</v>
      </c>
    </row>
    <row r="51" spans="1:7" x14ac:dyDescent="0.45">
      <c r="A51" s="13" t="str">
        <f t="shared" si="0"/>
        <v>Q1</v>
      </c>
      <c r="B51" s="12" t="str">
        <f t="shared" si="1"/>
        <v>Mar</v>
      </c>
      <c r="C51" s="15">
        <v>45362</v>
      </c>
      <c r="D51" s="2" t="s">
        <v>14</v>
      </c>
      <c r="E51" s="3">
        <v>128</v>
      </c>
      <c r="F51" s="3">
        <v>63</v>
      </c>
      <c r="G51" s="3">
        <v>191</v>
      </c>
    </row>
    <row r="52" spans="1:7" x14ac:dyDescent="0.45">
      <c r="A52" s="13" t="str">
        <f t="shared" si="0"/>
        <v>Q1</v>
      </c>
      <c r="B52" s="12" t="str">
        <f t="shared" si="1"/>
        <v>Mar</v>
      </c>
      <c r="C52" s="15">
        <v>45363</v>
      </c>
      <c r="D52" s="2" t="s">
        <v>15</v>
      </c>
      <c r="E52" s="3">
        <v>122</v>
      </c>
      <c r="F52" s="3">
        <v>94</v>
      </c>
      <c r="G52" s="3">
        <v>216</v>
      </c>
    </row>
    <row r="53" spans="1:7" x14ac:dyDescent="0.45">
      <c r="A53" s="13" t="str">
        <f t="shared" si="0"/>
        <v>Q1</v>
      </c>
      <c r="B53" s="12" t="str">
        <f t="shared" si="1"/>
        <v>Mar</v>
      </c>
      <c r="C53" s="15">
        <v>45364</v>
      </c>
      <c r="D53" s="2" t="s">
        <v>16</v>
      </c>
      <c r="E53" s="3">
        <v>141</v>
      </c>
      <c r="F53" s="3">
        <v>91</v>
      </c>
      <c r="G53" s="3">
        <v>232</v>
      </c>
    </row>
    <row r="54" spans="1:7" x14ac:dyDescent="0.45">
      <c r="A54" s="13" t="str">
        <f t="shared" si="0"/>
        <v>Q1</v>
      </c>
      <c r="B54" s="12" t="str">
        <f t="shared" si="1"/>
        <v>Mar</v>
      </c>
      <c r="C54" s="15">
        <v>45365</v>
      </c>
      <c r="D54" s="2" t="s">
        <v>17</v>
      </c>
      <c r="E54" s="3">
        <v>141</v>
      </c>
      <c r="F54" s="3">
        <v>91</v>
      </c>
      <c r="G54" s="3">
        <v>232</v>
      </c>
    </row>
    <row r="55" spans="1:7" x14ac:dyDescent="0.45">
      <c r="A55" s="13" t="str">
        <f t="shared" si="0"/>
        <v>Q1</v>
      </c>
      <c r="B55" s="12" t="str">
        <f t="shared" si="1"/>
        <v>Mar</v>
      </c>
      <c r="C55" s="15">
        <v>45368</v>
      </c>
      <c r="D55" s="2" t="s">
        <v>13</v>
      </c>
      <c r="E55" s="3">
        <v>150</v>
      </c>
      <c r="F55" s="3">
        <v>83</v>
      </c>
      <c r="G55" s="3">
        <v>233</v>
      </c>
    </row>
    <row r="56" spans="1:7" x14ac:dyDescent="0.45">
      <c r="A56" s="13" t="str">
        <f t="shared" si="0"/>
        <v>Q1</v>
      </c>
      <c r="B56" s="12" t="str">
        <f t="shared" si="1"/>
        <v>Mar</v>
      </c>
      <c r="C56" s="15">
        <v>45369</v>
      </c>
      <c r="D56" s="2" t="s">
        <v>14</v>
      </c>
      <c r="E56" s="3">
        <v>150</v>
      </c>
      <c r="F56" s="3">
        <v>123</v>
      </c>
      <c r="G56" s="3">
        <v>273</v>
      </c>
    </row>
    <row r="57" spans="1:7" x14ac:dyDescent="0.45">
      <c r="A57" s="13" t="str">
        <f t="shared" si="0"/>
        <v>Q1</v>
      </c>
      <c r="B57" s="12" t="str">
        <f t="shared" si="1"/>
        <v>Mar</v>
      </c>
      <c r="C57" s="15">
        <v>45370</v>
      </c>
      <c r="D57" s="2" t="s">
        <v>15</v>
      </c>
      <c r="E57" s="3">
        <v>151</v>
      </c>
      <c r="F57" s="3">
        <v>109</v>
      </c>
      <c r="G57" s="3">
        <v>260</v>
      </c>
    </row>
    <row r="58" spans="1:7" x14ac:dyDescent="0.45">
      <c r="A58" s="13" t="str">
        <f t="shared" si="0"/>
        <v>Q1</v>
      </c>
      <c r="B58" s="12" t="str">
        <f t="shared" si="1"/>
        <v>Mar</v>
      </c>
      <c r="C58" s="15">
        <v>45371</v>
      </c>
      <c r="D58" s="2" t="s">
        <v>16</v>
      </c>
      <c r="E58" s="3">
        <v>138</v>
      </c>
      <c r="F58" s="3">
        <v>115</v>
      </c>
      <c r="G58" s="3">
        <v>253</v>
      </c>
    </row>
    <row r="59" spans="1:7" x14ac:dyDescent="0.45">
      <c r="A59" s="13" t="str">
        <f t="shared" si="0"/>
        <v>Q1</v>
      </c>
      <c r="B59" s="12" t="str">
        <f t="shared" si="1"/>
        <v>Mar</v>
      </c>
      <c r="C59" s="15">
        <v>45372</v>
      </c>
      <c r="D59" s="2" t="s">
        <v>17</v>
      </c>
      <c r="E59" s="3">
        <v>129</v>
      </c>
      <c r="F59" s="3">
        <v>94</v>
      </c>
      <c r="G59" s="3">
        <v>223</v>
      </c>
    </row>
    <row r="60" spans="1:7" x14ac:dyDescent="0.45">
      <c r="A60" s="13" t="str">
        <f t="shared" si="0"/>
        <v>Q1</v>
      </c>
      <c r="B60" s="12" t="str">
        <f t="shared" si="1"/>
        <v>Mar</v>
      </c>
      <c r="C60" s="15">
        <v>45375</v>
      </c>
      <c r="D60" s="2" t="s">
        <v>13</v>
      </c>
      <c r="E60" s="3">
        <v>145</v>
      </c>
      <c r="F60" s="3">
        <v>131</v>
      </c>
      <c r="G60" s="3">
        <v>276</v>
      </c>
    </row>
    <row r="61" spans="1:7" x14ac:dyDescent="0.45">
      <c r="A61" s="13" t="str">
        <f t="shared" si="0"/>
        <v>Q1</v>
      </c>
      <c r="B61" s="12" t="str">
        <f t="shared" si="1"/>
        <v>Mar</v>
      </c>
      <c r="C61" s="15">
        <v>45376</v>
      </c>
      <c r="D61" s="2" t="s">
        <v>14</v>
      </c>
      <c r="E61" s="3">
        <v>108</v>
      </c>
      <c r="F61" s="3">
        <v>110</v>
      </c>
      <c r="G61" s="3">
        <v>218</v>
      </c>
    </row>
    <row r="62" spans="1:7" x14ac:dyDescent="0.45">
      <c r="A62" s="13" t="str">
        <f t="shared" si="0"/>
        <v>Q1</v>
      </c>
      <c r="B62" s="12" t="str">
        <f t="shared" si="1"/>
        <v>Mar</v>
      </c>
      <c r="C62" s="15">
        <v>45377</v>
      </c>
      <c r="D62" s="2" t="s">
        <v>15</v>
      </c>
      <c r="E62" s="3">
        <v>108</v>
      </c>
      <c r="F62" s="3">
        <v>115</v>
      </c>
      <c r="G62" s="3">
        <v>223</v>
      </c>
    </row>
    <row r="63" spans="1:7" x14ac:dyDescent="0.45">
      <c r="A63" s="13" t="str">
        <f t="shared" si="0"/>
        <v>Q1</v>
      </c>
      <c r="B63" s="12" t="str">
        <f t="shared" si="1"/>
        <v>Mar</v>
      </c>
      <c r="C63" s="15">
        <v>45378</v>
      </c>
      <c r="D63" s="2" t="s">
        <v>16</v>
      </c>
      <c r="E63" s="3">
        <v>118</v>
      </c>
      <c r="F63" s="3">
        <v>100</v>
      </c>
      <c r="G63" s="3">
        <v>218</v>
      </c>
    </row>
    <row r="64" spans="1:7" x14ac:dyDescent="0.45">
      <c r="A64" s="13" t="str">
        <f t="shared" si="0"/>
        <v>Q1</v>
      </c>
      <c r="B64" s="12" t="str">
        <f t="shared" si="1"/>
        <v>Mar</v>
      </c>
      <c r="C64" s="15">
        <v>45379</v>
      </c>
      <c r="D64" s="2" t="s">
        <v>17</v>
      </c>
      <c r="E64" s="3">
        <v>89</v>
      </c>
      <c r="F64" s="3">
        <v>81</v>
      </c>
      <c r="G64" s="3">
        <v>170</v>
      </c>
    </row>
    <row r="65" spans="1:7" x14ac:dyDescent="0.45">
      <c r="A65" s="13" t="str">
        <f t="shared" si="0"/>
        <v>Q1</v>
      </c>
      <c r="B65" s="12" t="str">
        <f t="shared" si="1"/>
        <v>Mar</v>
      </c>
      <c r="C65" s="15">
        <v>45382</v>
      </c>
      <c r="D65" s="2" t="s">
        <v>13</v>
      </c>
      <c r="E65" s="3">
        <v>106</v>
      </c>
      <c r="F65" s="3">
        <v>95</v>
      </c>
      <c r="G65" s="3">
        <v>201</v>
      </c>
    </row>
    <row r="66" spans="1:7" x14ac:dyDescent="0.45">
      <c r="A66" s="13" t="str">
        <f t="shared" ref="A66:A129" si="2">"Q"&amp;ROUNDUP(MONTH(C66)/3,0)</f>
        <v>Q2</v>
      </c>
      <c r="B66" s="12" t="str">
        <f t="shared" ref="B66:B129" si="3">TEXT(C66,"mmm")</f>
        <v>Apr</v>
      </c>
      <c r="C66" s="15">
        <v>45383</v>
      </c>
      <c r="D66" s="2" t="s">
        <v>14</v>
      </c>
      <c r="E66" s="3">
        <v>96</v>
      </c>
      <c r="F66" s="3">
        <v>85</v>
      </c>
      <c r="G66" s="3">
        <v>181</v>
      </c>
    </row>
    <row r="67" spans="1:7" x14ac:dyDescent="0.45">
      <c r="A67" s="13" t="str">
        <f t="shared" si="2"/>
        <v>Q2</v>
      </c>
      <c r="B67" s="12" t="str">
        <f t="shared" si="3"/>
        <v>Apr</v>
      </c>
      <c r="C67" s="15">
        <v>45384</v>
      </c>
      <c r="D67" s="2" t="s">
        <v>15</v>
      </c>
      <c r="E67" s="3">
        <v>105</v>
      </c>
      <c r="F67" s="3">
        <v>86</v>
      </c>
      <c r="G67" s="3">
        <v>191</v>
      </c>
    </row>
    <row r="68" spans="1:7" x14ac:dyDescent="0.45">
      <c r="A68" s="13" t="str">
        <f t="shared" si="2"/>
        <v>Q2</v>
      </c>
      <c r="B68" s="12" t="str">
        <f t="shared" si="3"/>
        <v>Apr</v>
      </c>
      <c r="C68" s="15">
        <v>45385</v>
      </c>
      <c r="D68" s="2" t="s">
        <v>16</v>
      </c>
      <c r="E68" s="3">
        <v>97</v>
      </c>
      <c r="F68" s="3">
        <v>72</v>
      </c>
      <c r="G68" s="3">
        <v>169</v>
      </c>
    </row>
    <row r="69" spans="1:7" x14ac:dyDescent="0.45">
      <c r="A69" s="13" t="str">
        <f t="shared" si="2"/>
        <v>Q2</v>
      </c>
      <c r="B69" s="12" t="str">
        <f t="shared" si="3"/>
        <v>Apr</v>
      </c>
      <c r="C69" s="15">
        <v>45397</v>
      </c>
      <c r="D69" s="2" t="s">
        <v>14</v>
      </c>
      <c r="E69" s="3">
        <v>230</v>
      </c>
      <c r="F69" s="3">
        <v>187</v>
      </c>
      <c r="G69" s="3">
        <v>417</v>
      </c>
    </row>
    <row r="70" spans="1:7" x14ac:dyDescent="0.45">
      <c r="A70" s="13" t="str">
        <f t="shared" si="2"/>
        <v>Q2</v>
      </c>
      <c r="B70" s="12" t="str">
        <f t="shared" si="3"/>
        <v>Apr</v>
      </c>
      <c r="C70" s="15">
        <v>45398</v>
      </c>
      <c r="D70" s="2" t="s">
        <v>15</v>
      </c>
      <c r="E70" s="3">
        <v>300</v>
      </c>
      <c r="F70" s="3">
        <v>243</v>
      </c>
      <c r="G70" s="3">
        <v>543</v>
      </c>
    </row>
    <row r="71" spans="1:7" x14ac:dyDescent="0.45">
      <c r="A71" s="13" t="str">
        <f t="shared" si="2"/>
        <v>Q2</v>
      </c>
      <c r="B71" s="12" t="str">
        <f t="shared" si="3"/>
        <v>Apr</v>
      </c>
      <c r="C71" s="15">
        <v>45399</v>
      </c>
      <c r="D71" s="2" t="s">
        <v>16</v>
      </c>
      <c r="E71" s="3">
        <v>258</v>
      </c>
      <c r="F71" s="3">
        <v>253</v>
      </c>
      <c r="G71" s="3">
        <v>511</v>
      </c>
    </row>
    <row r="72" spans="1:7" x14ac:dyDescent="0.45">
      <c r="A72" s="13" t="str">
        <f t="shared" si="2"/>
        <v>Q2</v>
      </c>
      <c r="B72" s="12" t="str">
        <f t="shared" si="3"/>
        <v>Apr</v>
      </c>
      <c r="C72" s="15">
        <v>45400</v>
      </c>
      <c r="D72" s="2" t="s">
        <v>17</v>
      </c>
      <c r="E72" s="3">
        <v>299</v>
      </c>
      <c r="F72" s="3">
        <v>285</v>
      </c>
      <c r="G72" s="3">
        <v>584</v>
      </c>
    </row>
    <row r="73" spans="1:7" x14ac:dyDescent="0.45">
      <c r="A73" s="13" t="str">
        <f t="shared" si="2"/>
        <v>Q2</v>
      </c>
      <c r="B73" s="12" t="str">
        <f t="shared" si="3"/>
        <v>Apr</v>
      </c>
      <c r="C73" s="15">
        <v>45403</v>
      </c>
      <c r="D73" s="2" t="s">
        <v>13</v>
      </c>
      <c r="E73" s="3">
        <v>301</v>
      </c>
      <c r="F73" s="3">
        <v>305</v>
      </c>
      <c r="G73" s="3">
        <v>606</v>
      </c>
    </row>
    <row r="74" spans="1:7" x14ac:dyDescent="0.45">
      <c r="A74" s="13" t="str">
        <f t="shared" si="2"/>
        <v>Q2</v>
      </c>
      <c r="B74" s="12" t="str">
        <f t="shared" si="3"/>
        <v>Apr</v>
      </c>
      <c r="C74" s="15">
        <v>45404</v>
      </c>
      <c r="D74" s="2" t="s">
        <v>14</v>
      </c>
      <c r="E74" s="3">
        <v>290</v>
      </c>
      <c r="F74" s="3">
        <v>344</v>
      </c>
      <c r="G74" s="3">
        <v>634</v>
      </c>
    </row>
    <row r="75" spans="1:7" x14ac:dyDescent="0.45">
      <c r="A75" s="13" t="str">
        <f t="shared" si="2"/>
        <v>Q2</v>
      </c>
      <c r="B75" s="12" t="str">
        <f t="shared" si="3"/>
        <v>Apr</v>
      </c>
      <c r="C75" s="15">
        <v>45405</v>
      </c>
      <c r="D75" s="2" t="s">
        <v>15</v>
      </c>
      <c r="E75" s="3">
        <v>303</v>
      </c>
      <c r="F75" s="3">
        <v>336</v>
      </c>
      <c r="G75" s="3">
        <v>639</v>
      </c>
    </row>
    <row r="76" spans="1:7" x14ac:dyDescent="0.45">
      <c r="A76" s="13" t="str">
        <f t="shared" si="2"/>
        <v>Q2</v>
      </c>
      <c r="B76" s="12" t="str">
        <f t="shared" si="3"/>
        <v>Apr</v>
      </c>
      <c r="C76" s="15">
        <v>45406</v>
      </c>
      <c r="D76" s="2" t="s">
        <v>16</v>
      </c>
      <c r="E76" s="3">
        <v>309</v>
      </c>
      <c r="F76" s="3">
        <v>309</v>
      </c>
      <c r="G76" s="3">
        <v>619</v>
      </c>
    </row>
    <row r="77" spans="1:7" x14ac:dyDescent="0.45">
      <c r="A77" s="13" t="str">
        <f t="shared" si="2"/>
        <v>Q2</v>
      </c>
      <c r="B77" s="12" t="str">
        <f t="shared" si="3"/>
        <v>Apr</v>
      </c>
      <c r="C77" s="15">
        <v>45407</v>
      </c>
      <c r="D77" s="2" t="s">
        <v>17</v>
      </c>
      <c r="E77" s="3">
        <v>330</v>
      </c>
      <c r="F77" s="3">
        <v>302</v>
      </c>
      <c r="G77" s="3">
        <v>632</v>
      </c>
    </row>
    <row r="78" spans="1:7" x14ac:dyDescent="0.45">
      <c r="A78" s="13" t="str">
        <f t="shared" si="2"/>
        <v>Q2</v>
      </c>
      <c r="B78" s="12" t="str">
        <f t="shared" si="3"/>
        <v>Apr</v>
      </c>
      <c r="C78" s="15">
        <v>45410</v>
      </c>
      <c r="D78" s="2" t="s">
        <v>13</v>
      </c>
      <c r="E78" s="3">
        <v>350</v>
      </c>
      <c r="F78" s="3">
        <v>347</v>
      </c>
      <c r="G78" s="3">
        <v>697</v>
      </c>
    </row>
    <row r="79" spans="1:7" x14ac:dyDescent="0.45">
      <c r="A79" s="13" t="str">
        <f t="shared" si="2"/>
        <v>Q2</v>
      </c>
      <c r="B79" s="12" t="str">
        <f t="shared" si="3"/>
        <v>Apr</v>
      </c>
      <c r="C79" s="15">
        <v>45411</v>
      </c>
      <c r="D79" s="2" t="s">
        <v>14</v>
      </c>
      <c r="E79" s="3">
        <v>333</v>
      </c>
      <c r="F79" s="3">
        <v>300</v>
      </c>
      <c r="G79" s="3">
        <v>633</v>
      </c>
    </row>
    <row r="80" spans="1:7" x14ac:dyDescent="0.45">
      <c r="A80" s="13" t="str">
        <f t="shared" si="2"/>
        <v>Q2</v>
      </c>
      <c r="B80" s="12" t="str">
        <f t="shared" si="3"/>
        <v>Apr</v>
      </c>
      <c r="C80" s="15">
        <v>45412</v>
      </c>
      <c r="D80" s="2" t="s">
        <v>15</v>
      </c>
      <c r="E80" s="3">
        <v>324</v>
      </c>
      <c r="F80" s="3">
        <v>332</v>
      </c>
      <c r="G80" s="3">
        <v>656</v>
      </c>
    </row>
    <row r="81" spans="1:7" x14ac:dyDescent="0.45">
      <c r="A81" s="13" t="str">
        <f t="shared" si="2"/>
        <v>Q2</v>
      </c>
      <c r="B81" s="12" t="str">
        <f t="shared" si="3"/>
        <v>May</v>
      </c>
      <c r="C81" s="15">
        <v>45413</v>
      </c>
      <c r="D81" s="2" t="s">
        <v>16</v>
      </c>
      <c r="E81" s="3">
        <v>310</v>
      </c>
      <c r="F81" s="3">
        <v>304</v>
      </c>
      <c r="G81" s="3">
        <v>614</v>
      </c>
    </row>
    <row r="82" spans="1:7" x14ac:dyDescent="0.45">
      <c r="A82" s="13" t="str">
        <f t="shared" si="2"/>
        <v>Q2</v>
      </c>
      <c r="B82" s="12" t="str">
        <f t="shared" si="3"/>
        <v>May</v>
      </c>
      <c r="C82" s="15">
        <v>45414</v>
      </c>
      <c r="D82" s="2" t="s">
        <v>17</v>
      </c>
      <c r="E82" s="3">
        <v>349</v>
      </c>
      <c r="F82" s="3">
        <v>407</v>
      </c>
      <c r="G82" s="3">
        <v>756</v>
      </c>
    </row>
    <row r="83" spans="1:7" x14ac:dyDescent="0.45">
      <c r="A83" s="13" t="str">
        <f t="shared" si="2"/>
        <v>Q2</v>
      </c>
      <c r="B83" s="12" t="str">
        <f t="shared" si="3"/>
        <v>May</v>
      </c>
      <c r="C83" s="15">
        <v>45417</v>
      </c>
      <c r="D83" s="2" t="s">
        <v>13</v>
      </c>
      <c r="E83" s="3">
        <v>356</v>
      </c>
      <c r="F83" s="3">
        <v>326</v>
      </c>
      <c r="G83" s="3">
        <v>682</v>
      </c>
    </row>
    <row r="84" spans="1:7" x14ac:dyDescent="0.45">
      <c r="A84" s="13" t="str">
        <f t="shared" si="2"/>
        <v>Q2</v>
      </c>
      <c r="B84" s="12" t="str">
        <f t="shared" si="3"/>
        <v>May</v>
      </c>
      <c r="C84" s="15">
        <v>45418</v>
      </c>
      <c r="D84" s="2" t="s">
        <v>14</v>
      </c>
      <c r="E84" s="3">
        <v>325</v>
      </c>
      <c r="F84" s="3">
        <v>344</v>
      </c>
      <c r="G84" s="3">
        <v>669</v>
      </c>
    </row>
    <row r="85" spans="1:7" x14ac:dyDescent="0.45">
      <c r="A85" s="13" t="str">
        <f t="shared" si="2"/>
        <v>Q2</v>
      </c>
      <c r="B85" s="12" t="str">
        <f t="shared" si="3"/>
        <v>May</v>
      </c>
      <c r="C85" s="15">
        <v>45419</v>
      </c>
      <c r="D85" s="2" t="s">
        <v>15</v>
      </c>
      <c r="E85" s="3">
        <v>320</v>
      </c>
      <c r="F85" s="3">
        <v>333</v>
      </c>
      <c r="G85" s="3">
        <v>653</v>
      </c>
    </row>
    <row r="86" spans="1:7" x14ac:dyDescent="0.45">
      <c r="A86" s="13" t="str">
        <f t="shared" si="2"/>
        <v>Q2</v>
      </c>
      <c r="B86" s="12" t="str">
        <f t="shared" si="3"/>
        <v>May</v>
      </c>
      <c r="C86" s="15">
        <v>45420</v>
      </c>
      <c r="D86" s="2" t="s">
        <v>16</v>
      </c>
      <c r="E86" s="3">
        <v>332</v>
      </c>
      <c r="F86" s="3">
        <v>373</v>
      </c>
      <c r="G86" s="3">
        <v>705</v>
      </c>
    </row>
    <row r="87" spans="1:7" x14ac:dyDescent="0.45">
      <c r="A87" s="13" t="str">
        <f t="shared" si="2"/>
        <v>Q2</v>
      </c>
      <c r="B87" s="12" t="str">
        <f t="shared" si="3"/>
        <v>May</v>
      </c>
      <c r="C87" s="15">
        <v>45421</v>
      </c>
      <c r="D87" s="2" t="s">
        <v>17</v>
      </c>
      <c r="E87" s="3">
        <v>355</v>
      </c>
      <c r="F87" s="3">
        <v>365</v>
      </c>
      <c r="G87" s="3">
        <v>720</v>
      </c>
    </row>
    <row r="88" spans="1:7" x14ac:dyDescent="0.45">
      <c r="A88" s="13" t="str">
        <f t="shared" si="2"/>
        <v>Q2</v>
      </c>
      <c r="B88" s="12" t="str">
        <f t="shared" si="3"/>
        <v>May</v>
      </c>
      <c r="C88" s="15">
        <v>45424</v>
      </c>
      <c r="D88" s="2" t="s">
        <v>13</v>
      </c>
      <c r="E88" s="3">
        <v>360</v>
      </c>
      <c r="F88" s="3">
        <v>386</v>
      </c>
      <c r="G88" s="3">
        <v>746</v>
      </c>
    </row>
    <row r="89" spans="1:7" x14ac:dyDescent="0.45">
      <c r="A89" s="13" t="str">
        <f t="shared" si="2"/>
        <v>Q2</v>
      </c>
      <c r="B89" s="12" t="str">
        <f t="shared" si="3"/>
        <v>May</v>
      </c>
      <c r="C89" s="15">
        <v>45425</v>
      </c>
      <c r="D89" s="2" t="s">
        <v>14</v>
      </c>
      <c r="E89" s="3">
        <v>365</v>
      </c>
      <c r="F89" s="3">
        <v>395</v>
      </c>
      <c r="G89" s="3">
        <v>760</v>
      </c>
    </row>
    <row r="90" spans="1:7" x14ac:dyDescent="0.45">
      <c r="A90" s="13" t="str">
        <f t="shared" si="2"/>
        <v>Q2</v>
      </c>
      <c r="B90" s="12" t="str">
        <f t="shared" si="3"/>
        <v>May</v>
      </c>
      <c r="C90" s="15">
        <v>45426</v>
      </c>
      <c r="D90" s="2" t="s">
        <v>15</v>
      </c>
      <c r="E90" s="3">
        <v>380</v>
      </c>
      <c r="F90" s="3">
        <v>410</v>
      </c>
      <c r="G90" s="3">
        <v>790</v>
      </c>
    </row>
    <row r="91" spans="1:7" x14ac:dyDescent="0.45">
      <c r="A91" s="13" t="str">
        <f t="shared" si="2"/>
        <v>Q2</v>
      </c>
      <c r="B91" s="12" t="str">
        <f t="shared" si="3"/>
        <v>May</v>
      </c>
      <c r="C91" s="15">
        <v>45427</v>
      </c>
      <c r="D91" s="2" t="s">
        <v>16</v>
      </c>
      <c r="E91" s="3">
        <v>405</v>
      </c>
      <c r="F91" s="3">
        <v>419</v>
      </c>
      <c r="G91" s="3">
        <v>824</v>
      </c>
    </row>
    <row r="92" spans="1:7" x14ac:dyDescent="0.45">
      <c r="A92" s="13" t="str">
        <f t="shared" si="2"/>
        <v>Q2</v>
      </c>
      <c r="B92" s="12" t="str">
        <f t="shared" si="3"/>
        <v>May</v>
      </c>
      <c r="C92" s="15">
        <v>45428</v>
      </c>
      <c r="D92" s="2" t="s">
        <v>17</v>
      </c>
      <c r="E92" s="3">
        <v>435</v>
      </c>
      <c r="F92" s="3">
        <v>523</v>
      </c>
      <c r="G92" s="3">
        <v>958</v>
      </c>
    </row>
    <row r="93" spans="1:7" x14ac:dyDescent="0.45">
      <c r="A93" s="13" t="str">
        <f t="shared" si="2"/>
        <v>Q2</v>
      </c>
      <c r="B93" s="12" t="str">
        <f t="shared" si="3"/>
        <v>May</v>
      </c>
      <c r="C93" s="15">
        <v>45431</v>
      </c>
      <c r="D93" s="2" t="s">
        <v>13</v>
      </c>
      <c r="E93" s="3">
        <v>442</v>
      </c>
      <c r="F93" s="3">
        <v>450</v>
      </c>
      <c r="G93" s="3">
        <v>892</v>
      </c>
    </row>
    <row r="94" spans="1:7" x14ac:dyDescent="0.45">
      <c r="A94" s="13" t="str">
        <f t="shared" si="2"/>
        <v>Q2</v>
      </c>
      <c r="B94" s="12" t="str">
        <f t="shared" si="3"/>
        <v>May</v>
      </c>
      <c r="C94" s="15">
        <v>45432</v>
      </c>
      <c r="D94" s="2" t="s">
        <v>14</v>
      </c>
      <c r="E94" s="3">
        <v>461</v>
      </c>
      <c r="F94" s="3">
        <v>543</v>
      </c>
      <c r="G94" s="3">
        <v>1004</v>
      </c>
    </row>
    <row r="95" spans="1:7" x14ac:dyDescent="0.45">
      <c r="A95" s="13" t="str">
        <f t="shared" si="2"/>
        <v>Q2</v>
      </c>
      <c r="B95" s="12" t="str">
        <f t="shared" si="3"/>
        <v>May</v>
      </c>
      <c r="C95" s="15">
        <v>45433</v>
      </c>
      <c r="D95" s="2" t="s">
        <v>15</v>
      </c>
      <c r="E95" s="3">
        <v>475</v>
      </c>
      <c r="F95" s="3">
        <v>529</v>
      </c>
      <c r="G95" s="3">
        <v>1004</v>
      </c>
    </row>
    <row r="96" spans="1:7" x14ac:dyDescent="0.45">
      <c r="A96" s="13" t="str">
        <f t="shared" si="2"/>
        <v>Q2</v>
      </c>
      <c r="B96" s="12" t="str">
        <f t="shared" si="3"/>
        <v>May</v>
      </c>
      <c r="C96" s="15">
        <v>45434</v>
      </c>
      <c r="D96" s="2" t="s">
        <v>16</v>
      </c>
      <c r="E96" s="3">
        <v>462</v>
      </c>
      <c r="F96" s="3">
        <v>527</v>
      </c>
      <c r="G96" s="3">
        <v>989</v>
      </c>
    </row>
    <row r="97" spans="1:7" x14ac:dyDescent="0.45">
      <c r="A97" s="13" t="str">
        <f t="shared" si="2"/>
        <v>Q2</v>
      </c>
      <c r="B97" s="12" t="str">
        <f t="shared" si="3"/>
        <v>May</v>
      </c>
      <c r="C97" s="15">
        <v>45435</v>
      </c>
      <c r="D97" s="2" t="s">
        <v>17</v>
      </c>
      <c r="E97" s="3">
        <v>497</v>
      </c>
      <c r="F97" s="3">
        <v>551</v>
      </c>
      <c r="G97" s="3">
        <v>1048</v>
      </c>
    </row>
    <row r="98" spans="1:7" x14ac:dyDescent="0.45">
      <c r="A98" s="13" t="str">
        <f t="shared" si="2"/>
        <v>Q2</v>
      </c>
      <c r="B98" s="12" t="str">
        <f t="shared" si="3"/>
        <v>May</v>
      </c>
      <c r="C98" s="15">
        <v>45438</v>
      </c>
      <c r="D98" s="2" t="s">
        <v>13</v>
      </c>
      <c r="E98" s="3">
        <v>432</v>
      </c>
      <c r="F98" s="3">
        <v>498</v>
      </c>
      <c r="G98" s="3">
        <v>930</v>
      </c>
    </row>
    <row r="99" spans="1:7" x14ac:dyDescent="0.45">
      <c r="A99" s="13" t="str">
        <f t="shared" si="2"/>
        <v>Q2</v>
      </c>
      <c r="B99" s="12" t="str">
        <f t="shared" si="3"/>
        <v>May</v>
      </c>
      <c r="C99" s="15">
        <v>45439</v>
      </c>
      <c r="D99" s="2" t="s">
        <v>14</v>
      </c>
      <c r="E99" s="3">
        <v>374</v>
      </c>
      <c r="F99" s="3">
        <v>481</v>
      </c>
      <c r="G99" s="3">
        <v>855</v>
      </c>
    </row>
    <row r="100" spans="1:7" x14ac:dyDescent="0.45">
      <c r="A100" s="13" t="str">
        <f t="shared" si="2"/>
        <v>Q2</v>
      </c>
      <c r="B100" s="12" t="str">
        <f t="shared" si="3"/>
        <v>May</v>
      </c>
      <c r="C100" s="15">
        <v>45440</v>
      </c>
      <c r="D100" s="2" t="s">
        <v>15</v>
      </c>
      <c r="E100" s="3">
        <v>419</v>
      </c>
      <c r="F100" s="3">
        <v>438</v>
      </c>
      <c r="G100" s="3">
        <v>857</v>
      </c>
    </row>
    <row r="101" spans="1:7" x14ac:dyDescent="0.45">
      <c r="A101" s="13" t="str">
        <f t="shared" si="2"/>
        <v>Q2</v>
      </c>
      <c r="B101" s="12" t="str">
        <f t="shared" si="3"/>
        <v>May</v>
      </c>
      <c r="C101" s="15">
        <v>45441</v>
      </c>
      <c r="D101" s="2" t="s">
        <v>16</v>
      </c>
      <c r="E101" s="3">
        <v>449</v>
      </c>
      <c r="F101" s="3">
        <v>433</v>
      </c>
      <c r="G101" s="3">
        <v>882</v>
      </c>
    </row>
    <row r="102" spans="1:7" x14ac:dyDescent="0.45">
      <c r="A102" s="13" t="str">
        <f t="shared" si="2"/>
        <v>Q2</v>
      </c>
      <c r="B102" s="12" t="str">
        <f t="shared" si="3"/>
        <v>May</v>
      </c>
      <c r="C102" s="15">
        <v>45442</v>
      </c>
      <c r="D102" s="2" t="s">
        <v>17</v>
      </c>
      <c r="E102" s="3">
        <v>366</v>
      </c>
      <c r="F102" s="3">
        <v>412</v>
      </c>
      <c r="G102" s="3">
        <v>778</v>
      </c>
    </row>
    <row r="103" spans="1:7" x14ac:dyDescent="0.45">
      <c r="A103" s="13" t="str">
        <f t="shared" si="2"/>
        <v>Q2</v>
      </c>
      <c r="B103" s="12" t="str">
        <f t="shared" si="3"/>
        <v>Jun</v>
      </c>
      <c r="C103" s="15">
        <v>45445</v>
      </c>
      <c r="D103" s="2" t="s">
        <v>13</v>
      </c>
      <c r="E103" s="3">
        <v>349</v>
      </c>
      <c r="F103" s="3">
        <v>383</v>
      </c>
      <c r="G103" s="3">
        <v>732</v>
      </c>
    </row>
    <row r="104" spans="1:7" x14ac:dyDescent="0.45">
      <c r="A104" s="13" t="str">
        <f t="shared" si="2"/>
        <v>Q2</v>
      </c>
      <c r="B104" s="12" t="str">
        <f t="shared" si="3"/>
        <v>Jun</v>
      </c>
      <c r="C104" s="15">
        <v>45446</v>
      </c>
      <c r="D104" s="2" t="s">
        <v>14</v>
      </c>
      <c r="E104" s="3">
        <v>367</v>
      </c>
      <c r="F104" s="3">
        <v>328</v>
      </c>
      <c r="G104" s="3">
        <v>695</v>
      </c>
    </row>
    <row r="105" spans="1:7" x14ac:dyDescent="0.45">
      <c r="A105" s="13" t="str">
        <f t="shared" si="2"/>
        <v>Q2</v>
      </c>
      <c r="B105" s="12" t="str">
        <f t="shared" si="3"/>
        <v>Jun</v>
      </c>
      <c r="C105" s="15">
        <v>45447</v>
      </c>
      <c r="D105" s="2" t="s">
        <v>15</v>
      </c>
      <c r="E105" s="3">
        <v>347</v>
      </c>
      <c r="F105" s="3">
        <v>240</v>
      </c>
      <c r="G105" s="3">
        <v>587</v>
      </c>
    </row>
    <row r="106" spans="1:7" x14ac:dyDescent="0.45">
      <c r="A106" s="13" t="str">
        <f t="shared" si="2"/>
        <v>Q2</v>
      </c>
      <c r="B106" s="12" t="str">
        <f t="shared" si="3"/>
        <v>Jun</v>
      </c>
      <c r="C106" s="15">
        <v>45448</v>
      </c>
      <c r="D106" s="2" t="s">
        <v>16</v>
      </c>
      <c r="E106" s="3">
        <v>263</v>
      </c>
      <c r="F106" s="3">
        <v>252</v>
      </c>
      <c r="G106" s="3">
        <v>515</v>
      </c>
    </row>
    <row r="107" spans="1:7" x14ac:dyDescent="0.45">
      <c r="A107" s="13" t="str">
        <f t="shared" si="2"/>
        <v>Q2</v>
      </c>
      <c r="B107" s="12" t="str">
        <f t="shared" si="3"/>
        <v>Jun</v>
      </c>
      <c r="C107" s="15">
        <v>45449</v>
      </c>
      <c r="D107" s="2" t="s">
        <v>17</v>
      </c>
      <c r="E107" s="3">
        <v>225</v>
      </c>
      <c r="F107" s="3">
        <v>197</v>
      </c>
      <c r="G107" s="3">
        <v>422</v>
      </c>
    </row>
    <row r="108" spans="1:7" x14ac:dyDescent="0.45">
      <c r="A108" s="13" t="str">
        <f t="shared" si="2"/>
        <v>Q2</v>
      </c>
      <c r="B108" s="12" t="str">
        <f t="shared" si="3"/>
        <v>Jun</v>
      </c>
      <c r="C108" s="15">
        <v>45451</v>
      </c>
      <c r="D108" s="2" t="s">
        <v>19</v>
      </c>
      <c r="E108" s="3">
        <v>1</v>
      </c>
      <c r="F108" s="3">
        <v>0</v>
      </c>
      <c r="G108" s="3">
        <v>1</v>
      </c>
    </row>
    <row r="109" spans="1:7" x14ac:dyDescent="0.45">
      <c r="A109" s="13" t="str">
        <f t="shared" si="2"/>
        <v>Q2</v>
      </c>
      <c r="B109" s="12" t="str">
        <f t="shared" si="3"/>
        <v>Jun</v>
      </c>
      <c r="C109" s="15">
        <v>45452</v>
      </c>
      <c r="D109" s="2" t="s">
        <v>13</v>
      </c>
      <c r="E109" s="3">
        <v>286</v>
      </c>
      <c r="F109" s="3">
        <v>184</v>
      </c>
      <c r="G109" s="3">
        <v>470</v>
      </c>
    </row>
    <row r="110" spans="1:7" x14ac:dyDescent="0.45">
      <c r="A110" s="13" t="str">
        <f t="shared" si="2"/>
        <v>Q2</v>
      </c>
      <c r="B110" s="12" t="str">
        <f t="shared" si="3"/>
        <v>Jun</v>
      </c>
      <c r="C110" s="15">
        <v>45453</v>
      </c>
      <c r="D110" s="2" t="s">
        <v>14</v>
      </c>
      <c r="E110" s="3">
        <v>181</v>
      </c>
      <c r="F110" s="3">
        <v>150</v>
      </c>
      <c r="G110" s="3">
        <v>331</v>
      </c>
    </row>
    <row r="111" spans="1:7" x14ac:dyDescent="0.45">
      <c r="A111" s="13" t="str">
        <f t="shared" si="2"/>
        <v>Q2</v>
      </c>
      <c r="B111" s="12" t="str">
        <f t="shared" si="3"/>
        <v>Jun</v>
      </c>
      <c r="C111" s="15">
        <v>45466</v>
      </c>
      <c r="D111" s="2" t="s">
        <v>13</v>
      </c>
      <c r="E111" s="3">
        <v>233</v>
      </c>
      <c r="F111" s="3">
        <v>166</v>
      </c>
      <c r="G111" s="3">
        <v>399</v>
      </c>
    </row>
    <row r="112" spans="1:7" x14ac:dyDescent="0.45">
      <c r="A112" s="13" t="str">
        <f t="shared" si="2"/>
        <v>Q2</v>
      </c>
      <c r="B112" s="12" t="str">
        <f t="shared" si="3"/>
        <v>Jun</v>
      </c>
      <c r="C112" s="15">
        <v>45467</v>
      </c>
      <c r="D112" s="2" t="s">
        <v>14</v>
      </c>
      <c r="E112" s="3">
        <v>243</v>
      </c>
      <c r="F112" s="3">
        <v>201</v>
      </c>
      <c r="G112" s="3">
        <v>444</v>
      </c>
    </row>
    <row r="113" spans="1:7" x14ac:dyDescent="0.45">
      <c r="A113" s="13" t="str">
        <f t="shared" si="2"/>
        <v>Q2</v>
      </c>
      <c r="B113" s="12" t="str">
        <f t="shared" si="3"/>
        <v>Jun</v>
      </c>
      <c r="C113" s="15">
        <v>45468</v>
      </c>
      <c r="D113" s="2" t="s">
        <v>15</v>
      </c>
      <c r="E113" s="3">
        <v>233</v>
      </c>
      <c r="F113" s="3">
        <v>226</v>
      </c>
      <c r="G113" s="3">
        <v>459</v>
      </c>
    </row>
    <row r="114" spans="1:7" x14ac:dyDescent="0.45">
      <c r="A114" s="13" t="str">
        <f t="shared" si="2"/>
        <v>Q2</v>
      </c>
      <c r="B114" s="12" t="str">
        <f t="shared" si="3"/>
        <v>Jun</v>
      </c>
      <c r="C114" s="15">
        <v>45469</v>
      </c>
      <c r="D114" s="2" t="s">
        <v>16</v>
      </c>
      <c r="E114" s="3">
        <v>274</v>
      </c>
      <c r="F114" s="3">
        <v>226</v>
      </c>
      <c r="G114" s="3">
        <v>500</v>
      </c>
    </row>
    <row r="115" spans="1:7" x14ac:dyDescent="0.45">
      <c r="A115" s="13" t="str">
        <f t="shared" si="2"/>
        <v>Q2</v>
      </c>
      <c r="B115" s="12" t="str">
        <f t="shared" si="3"/>
        <v>Jun</v>
      </c>
      <c r="C115" s="15">
        <v>45470</v>
      </c>
      <c r="D115" s="2" t="s">
        <v>17</v>
      </c>
      <c r="E115" s="3">
        <v>255</v>
      </c>
      <c r="F115" s="3">
        <v>218</v>
      </c>
      <c r="G115" s="3">
        <v>473</v>
      </c>
    </row>
    <row r="116" spans="1:7" x14ac:dyDescent="0.45">
      <c r="A116" s="13" t="str">
        <f t="shared" si="2"/>
        <v>Q2</v>
      </c>
      <c r="B116" s="12" t="str">
        <f t="shared" si="3"/>
        <v>Jun</v>
      </c>
      <c r="C116" s="15">
        <v>45473</v>
      </c>
      <c r="D116" s="2" t="s">
        <v>13</v>
      </c>
      <c r="E116" s="3">
        <v>235</v>
      </c>
      <c r="F116" s="3">
        <v>208</v>
      </c>
      <c r="G116" s="3">
        <v>443</v>
      </c>
    </row>
    <row r="117" spans="1:7" x14ac:dyDescent="0.45">
      <c r="A117" s="13" t="str">
        <f t="shared" si="2"/>
        <v>Q3</v>
      </c>
      <c r="B117" s="12" t="str">
        <f t="shared" si="3"/>
        <v>Jul</v>
      </c>
      <c r="C117" s="15">
        <v>45474</v>
      </c>
      <c r="D117" s="2" t="s">
        <v>14</v>
      </c>
      <c r="E117" s="3">
        <v>259</v>
      </c>
      <c r="F117" s="3">
        <v>259</v>
      </c>
      <c r="G117" s="3">
        <v>518</v>
      </c>
    </row>
    <row r="118" spans="1:7" x14ac:dyDescent="0.45">
      <c r="A118" s="13" t="str">
        <f t="shared" si="2"/>
        <v>Q3</v>
      </c>
      <c r="B118" s="12" t="str">
        <f t="shared" si="3"/>
        <v>Jul</v>
      </c>
      <c r="C118" s="15">
        <v>45475</v>
      </c>
      <c r="D118" s="2" t="s">
        <v>15</v>
      </c>
      <c r="E118" s="3">
        <v>288</v>
      </c>
      <c r="F118" s="3">
        <v>253</v>
      </c>
      <c r="G118" s="3">
        <v>541</v>
      </c>
    </row>
    <row r="119" spans="1:7" x14ac:dyDescent="0.45">
      <c r="A119" s="13" t="str">
        <f t="shared" si="2"/>
        <v>Q3</v>
      </c>
      <c r="B119" s="12" t="str">
        <f t="shared" si="3"/>
        <v>Jul</v>
      </c>
      <c r="C119" s="15">
        <v>45476</v>
      </c>
      <c r="D119" s="2" t="s">
        <v>16</v>
      </c>
      <c r="E119" s="3">
        <v>286</v>
      </c>
      <c r="F119" s="3">
        <v>252</v>
      </c>
      <c r="G119" s="3">
        <v>538</v>
      </c>
    </row>
    <row r="120" spans="1:7" x14ac:dyDescent="0.45">
      <c r="A120" s="13" t="str">
        <f t="shared" si="2"/>
        <v>Q3</v>
      </c>
      <c r="B120" s="12" t="str">
        <f t="shared" si="3"/>
        <v>Jul</v>
      </c>
      <c r="C120" s="15">
        <v>45477</v>
      </c>
      <c r="D120" s="2" t="s">
        <v>17</v>
      </c>
      <c r="E120" s="3">
        <v>258</v>
      </c>
      <c r="F120" s="3">
        <v>231</v>
      </c>
      <c r="G120" s="3">
        <v>489</v>
      </c>
    </row>
    <row r="121" spans="1:7" x14ac:dyDescent="0.45">
      <c r="A121" s="13" t="str">
        <f t="shared" si="2"/>
        <v>Q3</v>
      </c>
      <c r="B121" s="12" t="str">
        <f t="shared" si="3"/>
        <v>Jul</v>
      </c>
      <c r="C121" s="15">
        <v>45480</v>
      </c>
      <c r="D121" s="2" t="s">
        <v>13</v>
      </c>
      <c r="E121" s="3">
        <v>258</v>
      </c>
      <c r="F121" s="3">
        <v>280</v>
      </c>
      <c r="G121" s="3">
        <v>538</v>
      </c>
    </row>
    <row r="122" spans="1:7" x14ac:dyDescent="0.45">
      <c r="A122" s="13" t="str">
        <f t="shared" si="2"/>
        <v>Q3</v>
      </c>
      <c r="B122" s="12" t="str">
        <f t="shared" si="3"/>
        <v>Jul</v>
      </c>
      <c r="C122" s="15">
        <v>45481</v>
      </c>
      <c r="D122" s="2" t="s">
        <v>14</v>
      </c>
      <c r="E122" s="3">
        <v>273</v>
      </c>
      <c r="F122" s="3">
        <v>264</v>
      </c>
      <c r="G122" s="3">
        <v>537</v>
      </c>
    </row>
    <row r="123" spans="1:7" x14ac:dyDescent="0.45">
      <c r="A123" s="13" t="str">
        <f t="shared" si="2"/>
        <v>Q3</v>
      </c>
      <c r="B123" s="12" t="str">
        <f t="shared" si="3"/>
        <v>Jul</v>
      </c>
      <c r="C123" s="15">
        <v>45482</v>
      </c>
      <c r="D123" s="2" t="s">
        <v>15</v>
      </c>
      <c r="E123" s="3">
        <v>306</v>
      </c>
      <c r="F123" s="3">
        <v>302</v>
      </c>
      <c r="G123" s="3">
        <v>608</v>
      </c>
    </row>
    <row r="124" spans="1:7" x14ac:dyDescent="0.45">
      <c r="A124" s="13" t="str">
        <f t="shared" si="2"/>
        <v>Q3</v>
      </c>
      <c r="B124" s="12" t="str">
        <f t="shared" si="3"/>
        <v>Jul</v>
      </c>
      <c r="C124" s="15">
        <v>45483</v>
      </c>
      <c r="D124" s="2" t="s">
        <v>16</v>
      </c>
      <c r="E124" s="3">
        <v>266</v>
      </c>
      <c r="F124" s="3">
        <v>246</v>
      </c>
      <c r="G124" s="3">
        <v>512</v>
      </c>
    </row>
    <row r="125" spans="1:7" x14ac:dyDescent="0.45">
      <c r="A125" s="13" t="str">
        <f t="shared" si="2"/>
        <v>Q3</v>
      </c>
      <c r="B125" s="12" t="str">
        <f t="shared" si="3"/>
        <v>Jul</v>
      </c>
      <c r="C125" s="15">
        <v>45484</v>
      </c>
      <c r="D125" s="2" t="s">
        <v>17</v>
      </c>
      <c r="E125" s="3">
        <v>269</v>
      </c>
      <c r="F125" s="3">
        <v>253</v>
      </c>
      <c r="G125" s="3">
        <v>522</v>
      </c>
    </row>
    <row r="126" spans="1:7" x14ac:dyDescent="0.45">
      <c r="A126" s="13" t="str">
        <f t="shared" si="2"/>
        <v>Q3</v>
      </c>
      <c r="B126" s="12" t="str">
        <f t="shared" si="3"/>
        <v>Jul</v>
      </c>
      <c r="C126" s="15">
        <v>45487</v>
      </c>
      <c r="D126" s="2" t="s">
        <v>13</v>
      </c>
      <c r="E126" s="3">
        <v>267</v>
      </c>
      <c r="F126" s="3">
        <v>280</v>
      </c>
      <c r="G126" s="3">
        <v>547</v>
      </c>
    </row>
    <row r="127" spans="1:7" x14ac:dyDescent="0.45">
      <c r="A127" s="13" t="str">
        <f t="shared" si="2"/>
        <v>Q3</v>
      </c>
      <c r="B127" s="12" t="str">
        <f t="shared" si="3"/>
        <v>Jul</v>
      </c>
      <c r="C127" s="15">
        <v>45488</v>
      </c>
      <c r="D127" s="2" t="s">
        <v>14</v>
      </c>
      <c r="E127" s="3">
        <v>236</v>
      </c>
      <c r="F127" s="3">
        <v>244</v>
      </c>
      <c r="G127" s="3">
        <v>480</v>
      </c>
    </row>
    <row r="128" spans="1:7" x14ac:dyDescent="0.45">
      <c r="A128" s="13" t="str">
        <f t="shared" si="2"/>
        <v>Q3</v>
      </c>
      <c r="B128" s="12" t="str">
        <f t="shared" si="3"/>
        <v>Jul</v>
      </c>
      <c r="C128" s="15">
        <v>45489</v>
      </c>
      <c r="D128" s="2" t="s">
        <v>15</v>
      </c>
      <c r="E128" s="3">
        <v>248</v>
      </c>
      <c r="F128" s="3">
        <v>206</v>
      </c>
      <c r="G128" s="3">
        <v>454</v>
      </c>
    </row>
    <row r="129" spans="1:7" x14ac:dyDescent="0.45">
      <c r="A129" s="13" t="str">
        <f t="shared" si="2"/>
        <v>Q3</v>
      </c>
      <c r="B129" s="12" t="str">
        <f t="shared" si="3"/>
        <v>Jul</v>
      </c>
      <c r="C129" s="15">
        <v>45490</v>
      </c>
      <c r="D129" s="2" t="s">
        <v>16</v>
      </c>
      <c r="E129" s="3">
        <v>275</v>
      </c>
      <c r="F129" s="3">
        <v>256</v>
      </c>
      <c r="G129" s="3">
        <v>531</v>
      </c>
    </row>
    <row r="130" spans="1:7" x14ac:dyDescent="0.45">
      <c r="A130" s="13" t="str">
        <f t="shared" ref="A130:A193" si="4">"Q"&amp;ROUNDUP(MONTH(C130)/3,0)</f>
        <v>Q3</v>
      </c>
      <c r="B130" s="12" t="str">
        <f t="shared" ref="B130:B193" si="5">TEXT(C130,"mmm")</f>
        <v>Jul</v>
      </c>
      <c r="C130" s="15">
        <v>45491</v>
      </c>
      <c r="D130" s="2" t="s">
        <v>17</v>
      </c>
      <c r="E130" s="3">
        <v>259</v>
      </c>
      <c r="F130" s="3">
        <v>248</v>
      </c>
      <c r="G130" s="3">
        <v>507</v>
      </c>
    </row>
    <row r="131" spans="1:7" x14ac:dyDescent="0.45">
      <c r="A131" s="13" t="str">
        <f t="shared" si="4"/>
        <v>Q3</v>
      </c>
      <c r="B131" s="12" t="str">
        <f t="shared" si="5"/>
        <v>Jul</v>
      </c>
      <c r="C131" s="15">
        <v>45494</v>
      </c>
      <c r="D131" s="2" t="s">
        <v>13</v>
      </c>
      <c r="E131" s="3">
        <v>301</v>
      </c>
      <c r="F131" s="3">
        <v>277</v>
      </c>
      <c r="G131" s="3">
        <v>578</v>
      </c>
    </row>
    <row r="132" spans="1:7" x14ac:dyDescent="0.45">
      <c r="A132" s="13" t="str">
        <f t="shared" si="4"/>
        <v>Q3</v>
      </c>
      <c r="B132" s="12" t="str">
        <f t="shared" si="5"/>
        <v>Jul</v>
      </c>
      <c r="C132" s="15">
        <v>45495</v>
      </c>
      <c r="D132" s="2" t="s">
        <v>14</v>
      </c>
      <c r="E132" s="3">
        <v>288</v>
      </c>
      <c r="F132" s="3">
        <v>278</v>
      </c>
      <c r="G132" s="3">
        <v>566</v>
      </c>
    </row>
    <row r="133" spans="1:7" x14ac:dyDescent="0.45">
      <c r="A133" s="13" t="str">
        <f t="shared" si="4"/>
        <v>Q3</v>
      </c>
      <c r="B133" s="12" t="str">
        <f t="shared" si="5"/>
        <v>Jul</v>
      </c>
      <c r="C133" s="15">
        <v>45496</v>
      </c>
      <c r="D133" s="2" t="s">
        <v>15</v>
      </c>
      <c r="E133" s="3">
        <v>276</v>
      </c>
      <c r="F133" s="3">
        <v>278</v>
      </c>
      <c r="G133" s="3">
        <v>554</v>
      </c>
    </row>
    <row r="134" spans="1:7" x14ac:dyDescent="0.45">
      <c r="A134" s="13" t="str">
        <f t="shared" si="4"/>
        <v>Q3</v>
      </c>
      <c r="B134" s="12" t="str">
        <f t="shared" si="5"/>
        <v>Jul</v>
      </c>
      <c r="C134" s="15">
        <v>45497</v>
      </c>
      <c r="D134" s="2" t="s">
        <v>16</v>
      </c>
      <c r="E134" s="3">
        <v>275</v>
      </c>
      <c r="F134" s="3">
        <v>245</v>
      </c>
      <c r="G134" s="3">
        <v>520</v>
      </c>
    </row>
    <row r="135" spans="1:7" x14ac:dyDescent="0.45">
      <c r="A135" s="13" t="str">
        <f t="shared" si="4"/>
        <v>Q3</v>
      </c>
      <c r="B135" s="12" t="str">
        <f t="shared" si="5"/>
        <v>Jul</v>
      </c>
      <c r="C135" s="15">
        <v>45498</v>
      </c>
      <c r="D135" s="2" t="s">
        <v>17</v>
      </c>
      <c r="E135" s="3">
        <v>272</v>
      </c>
      <c r="F135" s="3">
        <v>259</v>
      </c>
      <c r="G135" s="3">
        <v>531</v>
      </c>
    </row>
    <row r="136" spans="1:7" x14ac:dyDescent="0.45">
      <c r="A136" s="13" t="str">
        <f t="shared" si="4"/>
        <v>Q3</v>
      </c>
      <c r="B136" s="12" t="str">
        <f t="shared" si="5"/>
        <v>Jul</v>
      </c>
      <c r="C136" s="15">
        <v>45501</v>
      </c>
      <c r="D136" s="2" t="s">
        <v>13</v>
      </c>
      <c r="E136" s="3">
        <v>289</v>
      </c>
      <c r="F136" s="3">
        <v>286</v>
      </c>
      <c r="G136" s="3">
        <v>575</v>
      </c>
    </row>
    <row r="137" spans="1:7" x14ac:dyDescent="0.45">
      <c r="A137" s="13" t="str">
        <f t="shared" si="4"/>
        <v>Q3</v>
      </c>
      <c r="B137" s="12" t="str">
        <f t="shared" si="5"/>
        <v>Jul</v>
      </c>
      <c r="C137" s="15">
        <v>45502</v>
      </c>
      <c r="D137" s="2" t="s">
        <v>14</v>
      </c>
      <c r="E137" s="3">
        <v>293</v>
      </c>
      <c r="F137" s="3">
        <v>307</v>
      </c>
      <c r="G137" s="3">
        <v>600</v>
      </c>
    </row>
    <row r="138" spans="1:7" x14ac:dyDescent="0.45">
      <c r="A138" s="13" t="str">
        <f t="shared" si="4"/>
        <v>Q3</v>
      </c>
      <c r="B138" s="12" t="str">
        <f t="shared" si="5"/>
        <v>Jul</v>
      </c>
      <c r="C138" s="15">
        <v>45503</v>
      </c>
      <c r="D138" s="2" t="s">
        <v>15</v>
      </c>
      <c r="E138" s="3">
        <v>262</v>
      </c>
      <c r="F138" s="3">
        <v>280</v>
      </c>
      <c r="G138" s="3">
        <v>542</v>
      </c>
    </row>
    <row r="139" spans="1:7" x14ac:dyDescent="0.45">
      <c r="A139" s="13" t="str">
        <f t="shared" si="4"/>
        <v>Q3</v>
      </c>
      <c r="B139" s="12" t="str">
        <f t="shared" si="5"/>
        <v>Jul</v>
      </c>
      <c r="C139" s="15">
        <v>45504</v>
      </c>
      <c r="D139" s="2" t="s">
        <v>16</v>
      </c>
      <c r="E139" s="3">
        <v>278</v>
      </c>
      <c r="F139" s="3">
        <v>278</v>
      </c>
      <c r="G139" s="3">
        <v>556</v>
      </c>
    </row>
    <row r="140" spans="1:7" x14ac:dyDescent="0.45">
      <c r="A140" s="13" t="str">
        <f t="shared" si="4"/>
        <v>Q3</v>
      </c>
      <c r="B140" s="12" t="str">
        <f t="shared" si="5"/>
        <v>Aug</v>
      </c>
      <c r="C140" s="15">
        <v>45505</v>
      </c>
      <c r="D140" s="2" t="s">
        <v>17</v>
      </c>
      <c r="E140" s="3">
        <v>249</v>
      </c>
      <c r="F140" s="3">
        <v>254</v>
      </c>
      <c r="G140" s="3">
        <v>503</v>
      </c>
    </row>
    <row r="141" spans="1:7" x14ac:dyDescent="0.45">
      <c r="A141" s="13" t="str">
        <f t="shared" si="4"/>
        <v>Q3</v>
      </c>
      <c r="B141" s="12" t="str">
        <f t="shared" si="5"/>
        <v>Aug</v>
      </c>
      <c r="C141" s="15">
        <v>45508</v>
      </c>
      <c r="D141" s="2" t="s">
        <v>13</v>
      </c>
      <c r="E141" s="3">
        <v>314</v>
      </c>
      <c r="F141" s="3">
        <v>298</v>
      </c>
      <c r="G141" s="3">
        <v>612</v>
      </c>
    </row>
    <row r="142" spans="1:7" x14ac:dyDescent="0.45">
      <c r="A142" s="13" t="str">
        <f t="shared" si="4"/>
        <v>Q3</v>
      </c>
      <c r="B142" s="12" t="str">
        <f t="shared" si="5"/>
        <v>Aug</v>
      </c>
      <c r="C142" s="15">
        <v>45509</v>
      </c>
      <c r="D142" s="2" t="s">
        <v>14</v>
      </c>
      <c r="E142" s="3">
        <v>307</v>
      </c>
      <c r="F142" s="3">
        <v>298</v>
      </c>
      <c r="G142" s="3">
        <v>605</v>
      </c>
    </row>
    <row r="143" spans="1:7" x14ac:dyDescent="0.45">
      <c r="A143" s="13" t="str">
        <f t="shared" si="4"/>
        <v>Q3</v>
      </c>
      <c r="B143" s="12" t="str">
        <f t="shared" si="5"/>
        <v>Aug</v>
      </c>
      <c r="C143" s="15">
        <v>45510</v>
      </c>
      <c r="D143" s="2" t="s">
        <v>15</v>
      </c>
      <c r="E143" s="3">
        <v>296</v>
      </c>
      <c r="F143" s="3">
        <v>295</v>
      </c>
      <c r="G143" s="3">
        <v>591</v>
      </c>
    </row>
    <row r="144" spans="1:7" x14ac:dyDescent="0.45">
      <c r="A144" s="13" t="str">
        <f t="shared" si="4"/>
        <v>Q3</v>
      </c>
      <c r="B144" s="12" t="str">
        <f t="shared" si="5"/>
        <v>Aug</v>
      </c>
      <c r="C144" s="15">
        <v>45511</v>
      </c>
      <c r="D144" s="2" t="s">
        <v>16</v>
      </c>
      <c r="E144" s="3">
        <v>306</v>
      </c>
      <c r="F144" s="3">
        <v>305</v>
      </c>
      <c r="G144" s="3">
        <v>611</v>
      </c>
    </row>
    <row r="145" spans="1:7" x14ac:dyDescent="0.45">
      <c r="A145" s="13" t="str">
        <f t="shared" si="4"/>
        <v>Q3</v>
      </c>
      <c r="B145" s="12" t="str">
        <f t="shared" si="5"/>
        <v>Aug</v>
      </c>
      <c r="C145" s="15">
        <v>45512</v>
      </c>
      <c r="D145" s="2" t="s">
        <v>17</v>
      </c>
      <c r="E145" s="3">
        <v>283</v>
      </c>
      <c r="F145" s="3">
        <v>294</v>
      </c>
      <c r="G145" s="3">
        <v>577</v>
      </c>
    </row>
    <row r="146" spans="1:7" x14ac:dyDescent="0.45">
      <c r="A146" s="13" t="str">
        <f t="shared" si="4"/>
        <v>Q3</v>
      </c>
      <c r="B146" s="12" t="str">
        <f t="shared" si="5"/>
        <v>Aug</v>
      </c>
      <c r="C146" s="15">
        <v>45515</v>
      </c>
      <c r="D146" s="2" t="s">
        <v>13</v>
      </c>
      <c r="E146" s="3">
        <v>327</v>
      </c>
      <c r="F146" s="3">
        <v>302</v>
      </c>
      <c r="G146" s="3">
        <v>629</v>
      </c>
    </row>
    <row r="147" spans="1:7" x14ac:dyDescent="0.45">
      <c r="A147" s="13" t="str">
        <f t="shared" si="4"/>
        <v>Q3</v>
      </c>
      <c r="B147" s="12" t="str">
        <f t="shared" si="5"/>
        <v>Aug</v>
      </c>
      <c r="C147" s="15">
        <v>45516</v>
      </c>
      <c r="D147" s="2" t="s">
        <v>14</v>
      </c>
      <c r="E147" s="3">
        <v>297</v>
      </c>
      <c r="F147" s="3">
        <v>300</v>
      </c>
      <c r="G147" s="3">
        <v>597</v>
      </c>
    </row>
    <row r="148" spans="1:7" x14ac:dyDescent="0.45">
      <c r="A148" s="13" t="str">
        <f t="shared" si="4"/>
        <v>Q3</v>
      </c>
      <c r="B148" s="12" t="str">
        <f t="shared" si="5"/>
        <v>Aug</v>
      </c>
      <c r="C148" s="15">
        <v>45517</v>
      </c>
      <c r="D148" s="2" t="s">
        <v>15</v>
      </c>
      <c r="E148" s="3">
        <v>302</v>
      </c>
      <c r="F148" s="3">
        <v>295</v>
      </c>
      <c r="G148" s="3">
        <v>597</v>
      </c>
    </row>
    <row r="149" spans="1:7" x14ac:dyDescent="0.45">
      <c r="A149" s="13" t="str">
        <f t="shared" si="4"/>
        <v>Q3</v>
      </c>
      <c r="B149" s="12" t="str">
        <f t="shared" si="5"/>
        <v>Aug</v>
      </c>
      <c r="C149" s="15">
        <v>45518</v>
      </c>
      <c r="D149" s="2" t="s">
        <v>16</v>
      </c>
      <c r="E149" s="3">
        <v>299</v>
      </c>
      <c r="F149" s="3">
        <v>265</v>
      </c>
      <c r="G149" s="3">
        <v>564</v>
      </c>
    </row>
    <row r="150" spans="1:7" x14ac:dyDescent="0.45">
      <c r="A150" s="13" t="str">
        <f t="shared" si="4"/>
        <v>Q3</v>
      </c>
      <c r="B150" s="12" t="str">
        <f t="shared" si="5"/>
        <v>Aug</v>
      </c>
      <c r="C150" s="15">
        <v>45519</v>
      </c>
      <c r="D150" s="2" t="s">
        <v>17</v>
      </c>
      <c r="E150" s="3">
        <v>292</v>
      </c>
      <c r="F150" s="3">
        <v>261</v>
      </c>
      <c r="G150" s="3">
        <v>553</v>
      </c>
    </row>
    <row r="151" spans="1:7" x14ac:dyDescent="0.45">
      <c r="A151" s="13" t="str">
        <f t="shared" si="4"/>
        <v>Q3</v>
      </c>
      <c r="B151" s="12" t="str">
        <f t="shared" si="5"/>
        <v>Aug</v>
      </c>
      <c r="C151" s="15">
        <v>45522</v>
      </c>
      <c r="D151" s="2" t="s">
        <v>13</v>
      </c>
      <c r="E151" s="3">
        <v>277</v>
      </c>
      <c r="F151" s="3">
        <v>249</v>
      </c>
      <c r="G151" s="3">
        <v>526</v>
      </c>
    </row>
    <row r="152" spans="1:7" x14ac:dyDescent="0.45">
      <c r="A152" s="13" t="str">
        <f t="shared" si="4"/>
        <v>Q3</v>
      </c>
      <c r="B152" s="12" t="str">
        <f t="shared" si="5"/>
        <v>Aug</v>
      </c>
      <c r="C152" s="15">
        <v>45523</v>
      </c>
      <c r="D152" s="2" t="s">
        <v>14</v>
      </c>
      <c r="E152" s="3">
        <v>296</v>
      </c>
      <c r="F152" s="3">
        <v>260</v>
      </c>
      <c r="G152" s="3">
        <v>556</v>
      </c>
    </row>
    <row r="153" spans="1:7" x14ac:dyDescent="0.45">
      <c r="A153" s="13" t="str">
        <f t="shared" si="4"/>
        <v>Q3</v>
      </c>
      <c r="B153" s="12" t="str">
        <f t="shared" si="5"/>
        <v>Aug</v>
      </c>
      <c r="C153" s="15">
        <v>45524</v>
      </c>
      <c r="D153" s="2" t="s">
        <v>15</v>
      </c>
      <c r="E153" s="3">
        <v>316</v>
      </c>
      <c r="F153" s="3">
        <v>296</v>
      </c>
      <c r="G153" s="3">
        <v>612</v>
      </c>
    </row>
    <row r="154" spans="1:7" x14ac:dyDescent="0.45">
      <c r="A154" s="13" t="str">
        <f t="shared" si="4"/>
        <v>Q3</v>
      </c>
      <c r="B154" s="12" t="str">
        <f t="shared" si="5"/>
        <v>Aug</v>
      </c>
      <c r="C154" s="15">
        <v>45525</v>
      </c>
      <c r="D154" s="2" t="s">
        <v>16</v>
      </c>
      <c r="E154" s="3">
        <v>349</v>
      </c>
      <c r="F154" s="3">
        <v>315</v>
      </c>
      <c r="G154" s="3">
        <v>664</v>
      </c>
    </row>
    <row r="155" spans="1:7" x14ac:dyDescent="0.45">
      <c r="A155" s="13" t="str">
        <f t="shared" si="4"/>
        <v>Q3</v>
      </c>
      <c r="B155" s="12" t="str">
        <f t="shared" si="5"/>
        <v>Aug</v>
      </c>
      <c r="C155" s="15">
        <v>45526</v>
      </c>
      <c r="D155" s="2" t="s">
        <v>17</v>
      </c>
      <c r="E155" s="3">
        <v>338</v>
      </c>
      <c r="F155" s="3">
        <v>327</v>
      </c>
      <c r="G155" s="3">
        <v>666</v>
      </c>
    </row>
    <row r="156" spans="1:7" x14ac:dyDescent="0.45">
      <c r="A156" s="13" t="str">
        <f t="shared" si="4"/>
        <v>Q3</v>
      </c>
      <c r="B156" s="12" t="str">
        <f t="shared" si="5"/>
        <v>Aug</v>
      </c>
      <c r="C156" s="15">
        <v>45529</v>
      </c>
      <c r="D156" s="2" t="s">
        <v>13</v>
      </c>
      <c r="E156" s="3">
        <v>332</v>
      </c>
      <c r="F156" s="3">
        <v>335</v>
      </c>
      <c r="G156" s="3">
        <v>667</v>
      </c>
    </row>
    <row r="157" spans="1:7" x14ac:dyDescent="0.45">
      <c r="A157" s="13" t="str">
        <f t="shared" si="4"/>
        <v>Q3</v>
      </c>
      <c r="B157" s="12" t="str">
        <f t="shared" si="5"/>
        <v>Aug</v>
      </c>
      <c r="C157" s="15">
        <v>45530</v>
      </c>
      <c r="D157" s="2" t="s">
        <v>14</v>
      </c>
      <c r="E157" s="3">
        <v>354</v>
      </c>
      <c r="F157" s="3">
        <v>322</v>
      </c>
      <c r="G157" s="3">
        <v>676</v>
      </c>
    </row>
    <row r="158" spans="1:7" x14ac:dyDescent="0.45">
      <c r="A158" s="13" t="str">
        <f t="shared" si="4"/>
        <v>Q3</v>
      </c>
      <c r="B158" s="12" t="str">
        <f t="shared" si="5"/>
        <v>Aug</v>
      </c>
      <c r="C158" s="15">
        <v>45531</v>
      </c>
      <c r="D158" s="2" t="s">
        <v>15</v>
      </c>
      <c r="E158" s="3">
        <v>328</v>
      </c>
      <c r="F158" s="3">
        <v>306</v>
      </c>
      <c r="G158" s="3">
        <v>634</v>
      </c>
    </row>
    <row r="159" spans="1:7" x14ac:dyDescent="0.45">
      <c r="A159" s="13" t="str">
        <f t="shared" si="4"/>
        <v>Q3</v>
      </c>
      <c r="B159" s="12" t="str">
        <f t="shared" si="5"/>
        <v>Aug</v>
      </c>
      <c r="C159" s="15">
        <v>45532</v>
      </c>
      <c r="D159" s="2" t="s">
        <v>16</v>
      </c>
      <c r="E159" s="3">
        <v>377</v>
      </c>
      <c r="F159" s="3">
        <v>320</v>
      </c>
      <c r="G159" s="3">
        <v>697</v>
      </c>
    </row>
    <row r="160" spans="1:7" x14ac:dyDescent="0.45">
      <c r="A160" s="13" t="str">
        <f t="shared" si="4"/>
        <v>Q3</v>
      </c>
      <c r="B160" s="12" t="str">
        <f t="shared" si="5"/>
        <v>Aug</v>
      </c>
      <c r="C160" s="15">
        <v>45533</v>
      </c>
      <c r="D160" s="2" t="s">
        <v>17</v>
      </c>
      <c r="E160" s="3">
        <v>344</v>
      </c>
      <c r="F160" s="3">
        <v>382</v>
      </c>
      <c r="G160" s="3">
        <v>726</v>
      </c>
    </row>
    <row r="161" spans="1:7" x14ac:dyDescent="0.45">
      <c r="A161" s="13" t="str">
        <f t="shared" si="4"/>
        <v>Q3</v>
      </c>
      <c r="B161" s="12" t="str">
        <f t="shared" si="5"/>
        <v>Sep</v>
      </c>
      <c r="C161" s="15">
        <v>45536</v>
      </c>
      <c r="D161" s="2" t="s">
        <v>13</v>
      </c>
      <c r="E161" s="3">
        <v>377</v>
      </c>
      <c r="F161" s="3">
        <v>392</v>
      </c>
      <c r="G161" s="3">
        <v>769</v>
      </c>
    </row>
    <row r="162" spans="1:7" x14ac:dyDescent="0.45">
      <c r="A162" s="13" t="str">
        <f t="shared" si="4"/>
        <v>Q3</v>
      </c>
      <c r="B162" s="12" t="str">
        <f t="shared" si="5"/>
        <v>Sep</v>
      </c>
      <c r="C162" s="15">
        <v>45537</v>
      </c>
      <c r="D162" s="2" t="s">
        <v>14</v>
      </c>
      <c r="E162" s="3">
        <v>376</v>
      </c>
      <c r="F162" s="3">
        <v>347</v>
      </c>
      <c r="G162" s="3">
        <v>723</v>
      </c>
    </row>
    <row r="163" spans="1:7" x14ac:dyDescent="0.45">
      <c r="A163" s="13" t="str">
        <f t="shared" si="4"/>
        <v>Q3</v>
      </c>
      <c r="B163" s="12" t="str">
        <f t="shared" si="5"/>
        <v>Sep</v>
      </c>
      <c r="C163" s="15">
        <v>45538</v>
      </c>
      <c r="D163" s="2" t="s">
        <v>15</v>
      </c>
      <c r="E163" s="3">
        <v>369</v>
      </c>
      <c r="F163" s="3">
        <v>391</v>
      </c>
      <c r="G163" s="3">
        <v>760</v>
      </c>
    </row>
    <row r="164" spans="1:7" x14ac:dyDescent="0.45">
      <c r="A164" s="13" t="str">
        <f t="shared" si="4"/>
        <v>Q3</v>
      </c>
      <c r="B164" s="12" t="str">
        <f t="shared" si="5"/>
        <v>Sep</v>
      </c>
      <c r="C164" s="15">
        <v>45539</v>
      </c>
      <c r="D164" s="2" t="s">
        <v>16</v>
      </c>
      <c r="E164" s="3">
        <v>314</v>
      </c>
      <c r="F164" s="3">
        <v>385</v>
      </c>
      <c r="G164" s="3">
        <v>699</v>
      </c>
    </row>
    <row r="165" spans="1:7" x14ac:dyDescent="0.45">
      <c r="A165" s="13" t="str">
        <f t="shared" si="4"/>
        <v>Q3</v>
      </c>
      <c r="B165" s="12" t="str">
        <f t="shared" si="5"/>
        <v>Sep</v>
      </c>
      <c r="C165" s="15">
        <v>45540</v>
      </c>
      <c r="D165" s="2" t="s">
        <v>17</v>
      </c>
      <c r="E165" s="3">
        <v>370</v>
      </c>
      <c r="F165" s="3">
        <v>352</v>
      </c>
      <c r="G165" s="3">
        <v>722</v>
      </c>
    </row>
    <row r="166" spans="1:7" x14ac:dyDescent="0.45">
      <c r="A166" s="13" t="str">
        <f t="shared" si="4"/>
        <v>Q3</v>
      </c>
      <c r="B166" s="12" t="str">
        <f t="shared" si="5"/>
        <v>Sep</v>
      </c>
      <c r="C166" s="15">
        <v>45543</v>
      </c>
      <c r="D166" s="2" t="s">
        <v>13</v>
      </c>
      <c r="E166" s="3">
        <v>368</v>
      </c>
      <c r="F166" s="3">
        <v>404</v>
      </c>
      <c r="G166" s="3">
        <v>772</v>
      </c>
    </row>
    <row r="167" spans="1:7" x14ac:dyDescent="0.45">
      <c r="A167" s="13" t="str">
        <f t="shared" si="4"/>
        <v>Q3</v>
      </c>
      <c r="B167" s="12" t="str">
        <f t="shared" si="5"/>
        <v>Sep</v>
      </c>
      <c r="C167" s="15">
        <v>45544</v>
      </c>
      <c r="D167" s="2" t="s">
        <v>14</v>
      </c>
      <c r="E167" s="3">
        <v>399</v>
      </c>
      <c r="F167" s="3">
        <v>362</v>
      </c>
      <c r="G167" s="3">
        <v>761</v>
      </c>
    </row>
    <row r="168" spans="1:7" x14ac:dyDescent="0.45">
      <c r="A168" s="13" t="str">
        <f t="shared" si="4"/>
        <v>Q3</v>
      </c>
      <c r="B168" s="12" t="str">
        <f t="shared" si="5"/>
        <v>Sep</v>
      </c>
      <c r="C168" s="15">
        <v>45545</v>
      </c>
      <c r="D168" s="2" t="s">
        <v>15</v>
      </c>
      <c r="E168" s="3">
        <v>391</v>
      </c>
      <c r="F168" s="3">
        <v>405</v>
      </c>
      <c r="G168" s="3">
        <v>796</v>
      </c>
    </row>
    <row r="169" spans="1:7" x14ac:dyDescent="0.45">
      <c r="A169" s="13" t="str">
        <f t="shared" si="4"/>
        <v>Q3</v>
      </c>
      <c r="B169" s="12" t="str">
        <f t="shared" si="5"/>
        <v>Sep</v>
      </c>
      <c r="C169" s="15">
        <v>45546</v>
      </c>
      <c r="D169" s="2" t="s">
        <v>16</v>
      </c>
      <c r="E169" s="3">
        <v>379</v>
      </c>
      <c r="F169" s="3">
        <v>385</v>
      </c>
      <c r="G169" s="3">
        <v>764</v>
      </c>
    </row>
    <row r="170" spans="1:7" x14ac:dyDescent="0.45">
      <c r="A170" s="13" t="str">
        <f t="shared" si="4"/>
        <v>Q3</v>
      </c>
      <c r="B170" s="12" t="str">
        <f t="shared" si="5"/>
        <v>Sep</v>
      </c>
      <c r="C170" s="15">
        <v>45547</v>
      </c>
      <c r="D170" s="2" t="s">
        <v>17</v>
      </c>
      <c r="E170" s="3">
        <v>363</v>
      </c>
      <c r="F170" s="3">
        <v>369</v>
      </c>
      <c r="G170" s="3">
        <v>732</v>
      </c>
    </row>
    <row r="171" spans="1:7" x14ac:dyDescent="0.45">
      <c r="A171" s="13" t="str">
        <f t="shared" si="4"/>
        <v>Q3</v>
      </c>
      <c r="B171" s="12" t="str">
        <f t="shared" si="5"/>
        <v>Sep</v>
      </c>
      <c r="C171" s="15">
        <v>45550</v>
      </c>
      <c r="D171" s="2" t="s">
        <v>13</v>
      </c>
      <c r="E171" s="3">
        <v>391</v>
      </c>
      <c r="F171" s="3">
        <v>370</v>
      </c>
      <c r="G171" s="3">
        <v>761</v>
      </c>
    </row>
    <row r="172" spans="1:7" x14ac:dyDescent="0.45">
      <c r="A172" s="13" t="str">
        <f t="shared" si="4"/>
        <v>Q3</v>
      </c>
      <c r="B172" s="12" t="str">
        <f t="shared" si="5"/>
        <v>Sep</v>
      </c>
      <c r="C172" s="15">
        <v>45551</v>
      </c>
      <c r="D172" s="2" t="s">
        <v>14</v>
      </c>
      <c r="E172" s="3">
        <v>333</v>
      </c>
      <c r="F172" s="3">
        <v>353</v>
      </c>
      <c r="G172" s="3">
        <v>686</v>
      </c>
    </row>
    <row r="173" spans="1:7" x14ac:dyDescent="0.45">
      <c r="A173" s="13" t="str">
        <f t="shared" si="4"/>
        <v>Q3</v>
      </c>
      <c r="B173" s="12" t="str">
        <f t="shared" si="5"/>
        <v>Sep</v>
      </c>
      <c r="C173" s="15">
        <v>45552</v>
      </c>
      <c r="D173" s="2" t="s">
        <v>15</v>
      </c>
      <c r="E173" s="3">
        <v>373</v>
      </c>
      <c r="F173" s="3">
        <v>361</v>
      </c>
      <c r="G173" s="3">
        <v>734</v>
      </c>
    </row>
    <row r="174" spans="1:7" x14ac:dyDescent="0.45">
      <c r="A174" s="13" t="str">
        <f t="shared" si="4"/>
        <v>Q3</v>
      </c>
      <c r="B174" s="12" t="str">
        <f t="shared" si="5"/>
        <v>Sep</v>
      </c>
      <c r="C174" s="15">
        <v>45553</v>
      </c>
      <c r="D174" s="2" t="s">
        <v>16</v>
      </c>
      <c r="E174" s="3">
        <v>344</v>
      </c>
      <c r="F174" s="3">
        <v>326</v>
      </c>
      <c r="G174" s="3">
        <v>670</v>
      </c>
    </row>
    <row r="175" spans="1:7" x14ac:dyDescent="0.45">
      <c r="A175" s="13" t="str">
        <f t="shared" si="4"/>
        <v>Q3</v>
      </c>
      <c r="B175" s="12" t="str">
        <f t="shared" si="5"/>
        <v>Sep</v>
      </c>
      <c r="C175" s="15">
        <v>45554</v>
      </c>
      <c r="D175" s="2" t="s">
        <v>17</v>
      </c>
      <c r="E175" s="3">
        <v>340</v>
      </c>
      <c r="F175" s="3">
        <v>331</v>
      </c>
      <c r="G175" s="3">
        <v>671</v>
      </c>
    </row>
    <row r="176" spans="1:7" x14ac:dyDescent="0.45">
      <c r="A176" s="13" t="str">
        <f t="shared" si="4"/>
        <v>Q3</v>
      </c>
      <c r="B176" s="12" t="str">
        <f t="shared" si="5"/>
        <v>Sep</v>
      </c>
      <c r="C176" s="15">
        <v>45559</v>
      </c>
      <c r="D176" s="2" t="s">
        <v>15</v>
      </c>
      <c r="E176" s="3">
        <v>187</v>
      </c>
      <c r="F176" s="3">
        <v>163</v>
      </c>
      <c r="G176" s="3">
        <v>350</v>
      </c>
    </row>
    <row r="177" spans="1:7" x14ac:dyDescent="0.45">
      <c r="A177" s="13" t="str">
        <f t="shared" si="4"/>
        <v>Q3</v>
      </c>
      <c r="B177" s="12" t="str">
        <f t="shared" si="5"/>
        <v>Sep</v>
      </c>
      <c r="C177" s="15">
        <v>45560</v>
      </c>
      <c r="D177" s="2" t="s">
        <v>16</v>
      </c>
      <c r="E177" s="3">
        <v>342</v>
      </c>
      <c r="F177" s="3">
        <v>286</v>
      </c>
      <c r="G177" s="3">
        <v>628</v>
      </c>
    </row>
    <row r="178" spans="1:7" x14ac:dyDescent="0.45">
      <c r="A178" s="13" t="str">
        <f t="shared" si="4"/>
        <v>Q3</v>
      </c>
      <c r="B178" s="12" t="str">
        <f t="shared" si="5"/>
        <v>Sep</v>
      </c>
      <c r="C178" s="15">
        <v>45561</v>
      </c>
      <c r="D178" s="2" t="s">
        <v>17</v>
      </c>
      <c r="E178" s="3">
        <v>352</v>
      </c>
      <c r="F178" s="3">
        <v>339</v>
      </c>
      <c r="G178" s="3">
        <v>691</v>
      </c>
    </row>
    <row r="179" spans="1:7" x14ac:dyDescent="0.45">
      <c r="A179" s="13" t="str">
        <f t="shared" si="4"/>
        <v>Q3</v>
      </c>
      <c r="B179" s="12" t="str">
        <f t="shared" si="5"/>
        <v>Sep</v>
      </c>
      <c r="C179" s="15">
        <v>45564</v>
      </c>
      <c r="D179" s="2" t="s">
        <v>13</v>
      </c>
      <c r="E179" s="3">
        <v>346</v>
      </c>
      <c r="F179" s="3">
        <v>345</v>
      </c>
      <c r="G179" s="3">
        <v>691</v>
      </c>
    </row>
    <row r="180" spans="1:7" x14ac:dyDescent="0.45">
      <c r="A180" s="13" t="str">
        <f t="shared" si="4"/>
        <v>Q3</v>
      </c>
      <c r="B180" s="12" t="str">
        <f t="shared" si="5"/>
        <v>Sep</v>
      </c>
      <c r="C180" s="15">
        <v>45565</v>
      </c>
      <c r="D180" s="2" t="s">
        <v>14</v>
      </c>
      <c r="E180" s="3">
        <v>329</v>
      </c>
      <c r="F180" s="3">
        <v>352</v>
      </c>
      <c r="G180" s="3">
        <v>681</v>
      </c>
    </row>
    <row r="181" spans="1:7" x14ac:dyDescent="0.45">
      <c r="A181" s="13" t="str">
        <f t="shared" si="4"/>
        <v>Q4</v>
      </c>
      <c r="B181" s="12" t="str">
        <f t="shared" si="5"/>
        <v>Oct</v>
      </c>
      <c r="C181" s="15">
        <v>45566</v>
      </c>
      <c r="D181" s="2" t="s">
        <v>15</v>
      </c>
      <c r="E181" s="3">
        <v>139</v>
      </c>
      <c r="F181" s="3">
        <v>162</v>
      </c>
      <c r="G181" s="3">
        <v>301</v>
      </c>
    </row>
    <row r="182" spans="1:7" x14ac:dyDescent="0.45">
      <c r="A182" s="13" t="str">
        <f t="shared" si="4"/>
        <v>Q4</v>
      </c>
      <c r="B182" s="12" t="str">
        <f t="shared" si="5"/>
        <v>Oct</v>
      </c>
      <c r="C182" s="15">
        <v>45567</v>
      </c>
      <c r="D182" s="2" t="s">
        <v>16</v>
      </c>
      <c r="E182" s="3">
        <v>386</v>
      </c>
      <c r="F182" s="3">
        <v>346</v>
      </c>
      <c r="G182" s="3">
        <v>732</v>
      </c>
    </row>
    <row r="183" spans="1:7" x14ac:dyDescent="0.45">
      <c r="A183" s="13" t="str">
        <f t="shared" si="4"/>
        <v>Q4</v>
      </c>
      <c r="B183" s="12" t="str">
        <f t="shared" si="5"/>
        <v>Oct</v>
      </c>
      <c r="C183" s="15">
        <v>45568</v>
      </c>
      <c r="D183" s="2" t="s">
        <v>17</v>
      </c>
      <c r="E183" s="3">
        <v>366</v>
      </c>
      <c r="F183" s="3">
        <v>340</v>
      </c>
      <c r="G183" s="3">
        <v>706</v>
      </c>
    </row>
    <row r="184" spans="1:7" x14ac:dyDescent="0.45">
      <c r="A184" s="13" t="str">
        <f t="shared" si="4"/>
        <v>Q4</v>
      </c>
      <c r="B184" s="12" t="str">
        <f t="shared" si="5"/>
        <v>Oct</v>
      </c>
      <c r="C184" s="15">
        <v>45571</v>
      </c>
      <c r="D184" s="2" t="s">
        <v>13</v>
      </c>
      <c r="E184" s="3">
        <v>396</v>
      </c>
      <c r="F184" s="3">
        <v>404</v>
      </c>
      <c r="G184" s="3">
        <v>800</v>
      </c>
    </row>
    <row r="185" spans="1:7" x14ac:dyDescent="0.45">
      <c r="A185" s="13" t="str">
        <f t="shared" si="4"/>
        <v>Q4</v>
      </c>
      <c r="B185" s="12" t="str">
        <f t="shared" si="5"/>
        <v>Oct</v>
      </c>
      <c r="C185" s="15">
        <v>45572</v>
      </c>
      <c r="D185" s="2" t="s">
        <v>14</v>
      </c>
      <c r="E185" s="3">
        <v>380</v>
      </c>
      <c r="F185" s="3">
        <v>402</v>
      </c>
      <c r="G185" s="3">
        <v>782</v>
      </c>
    </row>
    <row r="186" spans="1:7" x14ac:dyDescent="0.45">
      <c r="A186" s="13" t="str">
        <f t="shared" si="4"/>
        <v>Q4</v>
      </c>
      <c r="B186" s="12" t="str">
        <f t="shared" si="5"/>
        <v>Oct</v>
      </c>
      <c r="C186" s="15">
        <v>45573</v>
      </c>
      <c r="D186" s="2" t="s">
        <v>15</v>
      </c>
      <c r="E186" s="3">
        <v>422</v>
      </c>
      <c r="F186" s="3">
        <v>405</v>
      </c>
      <c r="G186" s="3">
        <v>827</v>
      </c>
    </row>
    <row r="187" spans="1:7" x14ac:dyDescent="0.45">
      <c r="A187" s="13" t="str">
        <f t="shared" si="4"/>
        <v>Q4</v>
      </c>
      <c r="B187" s="12" t="str">
        <f t="shared" si="5"/>
        <v>Oct</v>
      </c>
      <c r="C187" s="15">
        <v>45574</v>
      </c>
      <c r="D187" s="2" t="s">
        <v>16</v>
      </c>
      <c r="E187" s="3">
        <v>387</v>
      </c>
      <c r="F187" s="3">
        <v>346</v>
      </c>
      <c r="G187" s="3">
        <v>733</v>
      </c>
    </row>
    <row r="188" spans="1:7" x14ac:dyDescent="0.45">
      <c r="A188" s="13" t="str">
        <f t="shared" si="4"/>
        <v>Q4</v>
      </c>
      <c r="B188" s="12" t="str">
        <f t="shared" si="5"/>
        <v>Oct</v>
      </c>
      <c r="C188" s="15">
        <v>45575</v>
      </c>
      <c r="D188" s="2" t="s">
        <v>17</v>
      </c>
      <c r="E188" s="3">
        <v>356</v>
      </c>
      <c r="F188" s="3">
        <v>348</v>
      </c>
      <c r="G188" s="3">
        <v>704</v>
      </c>
    </row>
    <row r="189" spans="1:7" x14ac:dyDescent="0.45">
      <c r="A189" s="13" t="str">
        <f t="shared" si="4"/>
        <v>Q4</v>
      </c>
      <c r="B189" s="12" t="str">
        <f t="shared" si="5"/>
        <v>Oct</v>
      </c>
      <c r="C189" s="15">
        <v>45578</v>
      </c>
      <c r="D189" s="2" t="s">
        <v>13</v>
      </c>
      <c r="E189" s="3">
        <v>400</v>
      </c>
      <c r="F189" s="3">
        <v>395</v>
      </c>
      <c r="G189" s="3">
        <v>795</v>
      </c>
    </row>
    <row r="190" spans="1:7" x14ac:dyDescent="0.45">
      <c r="A190" s="13" t="str">
        <f t="shared" si="4"/>
        <v>Q4</v>
      </c>
      <c r="B190" s="12" t="str">
        <f t="shared" si="5"/>
        <v>Oct</v>
      </c>
      <c r="C190" s="15">
        <v>45579</v>
      </c>
      <c r="D190" s="2" t="s">
        <v>14</v>
      </c>
      <c r="E190" s="3">
        <v>369</v>
      </c>
      <c r="F190" s="3">
        <v>380</v>
      </c>
      <c r="G190" s="3">
        <v>749</v>
      </c>
    </row>
    <row r="191" spans="1:7" x14ac:dyDescent="0.45">
      <c r="A191" s="13" t="str">
        <f t="shared" si="4"/>
        <v>Q4</v>
      </c>
      <c r="B191" s="12" t="str">
        <f t="shared" si="5"/>
        <v>Oct</v>
      </c>
      <c r="C191" s="15">
        <v>45580</v>
      </c>
      <c r="D191" s="2" t="s">
        <v>15</v>
      </c>
      <c r="E191" s="3">
        <v>373</v>
      </c>
      <c r="F191" s="3">
        <v>312</v>
      </c>
      <c r="G191" s="3">
        <v>685</v>
      </c>
    </row>
    <row r="192" spans="1:7" x14ac:dyDescent="0.45">
      <c r="A192" s="13" t="str">
        <f t="shared" si="4"/>
        <v>Q4</v>
      </c>
      <c r="B192" s="12" t="str">
        <f t="shared" si="5"/>
        <v>Oct</v>
      </c>
      <c r="C192" s="15">
        <v>45581</v>
      </c>
      <c r="D192" s="2" t="s">
        <v>16</v>
      </c>
      <c r="E192" s="3">
        <v>328</v>
      </c>
      <c r="F192" s="3">
        <v>337</v>
      </c>
      <c r="G192" s="3">
        <v>665</v>
      </c>
    </row>
    <row r="193" spans="1:7" x14ac:dyDescent="0.45">
      <c r="A193" s="13" t="str">
        <f t="shared" si="4"/>
        <v>Q4</v>
      </c>
      <c r="B193" s="12" t="str">
        <f t="shared" si="5"/>
        <v>Oct</v>
      </c>
      <c r="C193" s="15">
        <v>45582</v>
      </c>
      <c r="D193" s="2" t="s">
        <v>17</v>
      </c>
      <c r="E193" s="3">
        <v>376</v>
      </c>
      <c r="F193" s="3">
        <v>375</v>
      </c>
      <c r="G193" s="3">
        <v>751</v>
      </c>
    </row>
    <row r="194" spans="1:7" x14ac:dyDescent="0.45">
      <c r="A194" s="13" t="str">
        <f t="shared" ref="A194:A248" si="6">"Q"&amp;ROUNDUP(MONTH(C194)/3,0)</f>
        <v>Q4</v>
      </c>
      <c r="B194" s="12" t="str">
        <f t="shared" ref="B194:B248" si="7">TEXT(C194,"mmm")</f>
        <v>Oct</v>
      </c>
      <c r="C194" s="15">
        <v>45585</v>
      </c>
      <c r="D194" s="2" t="s">
        <v>13</v>
      </c>
      <c r="E194" s="3">
        <v>386</v>
      </c>
      <c r="F194" s="3">
        <v>376</v>
      </c>
      <c r="G194" s="3">
        <v>762</v>
      </c>
    </row>
    <row r="195" spans="1:7" x14ac:dyDescent="0.45">
      <c r="A195" s="13" t="str">
        <f t="shared" si="6"/>
        <v>Q4</v>
      </c>
      <c r="B195" s="12" t="str">
        <f t="shared" si="7"/>
        <v>Oct</v>
      </c>
      <c r="C195" s="15">
        <v>45586</v>
      </c>
      <c r="D195" s="2" t="s">
        <v>14</v>
      </c>
      <c r="E195" s="3">
        <v>397</v>
      </c>
      <c r="F195" s="3">
        <v>373</v>
      </c>
      <c r="G195" s="3">
        <v>770</v>
      </c>
    </row>
    <row r="196" spans="1:7" x14ac:dyDescent="0.45">
      <c r="A196" s="13" t="str">
        <f t="shared" si="6"/>
        <v>Q4</v>
      </c>
      <c r="B196" s="12" t="str">
        <f t="shared" si="7"/>
        <v>Oct</v>
      </c>
      <c r="C196" s="15">
        <v>45587</v>
      </c>
      <c r="D196" s="2" t="s">
        <v>15</v>
      </c>
      <c r="E196" s="3">
        <v>356</v>
      </c>
      <c r="F196" s="3">
        <v>351</v>
      </c>
      <c r="G196" s="3">
        <v>707</v>
      </c>
    </row>
    <row r="197" spans="1:7" x14ac:dyDescent="0.45">
      <c r="A197" s="13" t="str">
        <f t="shared" si="6"/>
        <v>Q4</v>
      </c>
      <c r="B197" s="12" t="str">
        <f t="shared" si="7"/>
        <v>Oct</v>
      </c>
      <c r="C197" s="15">
        <v>45588</v>
      </c>
      <c r="D197" s="2" t="s">
        <v>16</v>
      </c>
      <c r="E197" s="3">
        <v>383</v>
      </c>
      <c r="F197" s="3">
        <v>369</v>
      </c>
      <c r="G197" s="3">
        <v>752</v>
      </c>
    </row>
    <row r="198" spans="1:7" x14ac:dyDescent="0.45">
      <c r="A198" s="13" t="str">
        <f t="shared" si="6"/>
        <v>Q4</v>
      </c>
      <c r="B198" s="12" t="str">
        <f t="shared" si="7"/>
        <v>Oct</v>
      </c>
      <c r="C198" s="15">
        <v>45589</v>
      </c>
      <c r="D198" s="2" t="s">
        <v>17</v>
      </c>
      <c r="E198" s="3">
        <v>367</v>
      </c>
      <c r="F198" s="3">
        <v>361</v>
      </c>
      <c r="G198" s="3">
        <v>728</v>
      </c>
    </row>
    <row r="199" spans="1:7" x14ac:dyDescent="0.45">
      <c r="A199" s="13" t="str">
        <f t="shared" si="6"/>
        <v>Q4</v>
      </c>
      <c r="B199" s="12" t="str">
        <f t="shared" si="7"/>
        <v>Oct</v>
      </c>
      <c r="C199" s="15">
        <v>45592</v>
      </c>
      <c r="D199" s="2" t="s">
        <v>13</v>
      </c>
      <c r="E199" s="3">
        <v>362</v>
      </c>
      <c r="F199" s="3">
        <v>362</v>
      </c>
      <c r="G199" s="3">
        <v>724</v>
      </c>
    </row>
    <row r="200" spans="1:7" x14ac:dyDescent="0.45">
      <c r="A200" s="13" t="str">
        <f t="shared" si="6"/>
        <v>Q4</v>
      </c>
      <c r="B200" s="12" t="str">
        <f t="shared" si="7"/>
        <v>Oct</v>
      </c>
      <c r="C200" s="15">
        <v>45593</v>
      </c>
      <c r="D200" s="2" t="s">
        <v>14</v>
      </c>
      <c r="E200" s="3">
        <v>367</v>
      </c>
      <c r="F200" s="3">
        <v>433</v>
      </c>
      <c r="G200" s="3">
        <v>800</v>
      </c>
    </row>
    <row r="201" spans="1:7" x14ac:dyDescent="0.45">
      <c r="A201" s="13" t="str">
        <f t="shared" si="6"/>
        <v>Q4</v>
      </c>
      <c r="B201" s="12" t="str">
        <f t="shared" si="7"/>
        <v>Oct</v>
      </c>
      <c r="C201" s="15">
        <v>45594</v>
      </c>
      <c r="D201" s="2" t="s">
        <v>15</v>
      </c>
      <c r="E201" s="3">
        <v>410</v>
      </c>
      <c r="F201" s="3">
        <v>393</v>
      </c>
      <c r="G201" s="3">
        <v>803</v>
      </c>
    </row>
    <row r="202" spans="1:7" x14ac:dyDescent="0.45">
      <c r="A202" s="13" t="str">
        <f t="shared" si="6"/>
        <v>Q4</v>
      </c>
      <c r="B202" s="12" t="str">
        <f t="shared" si="7"/>
        <v>Oct</v>
      </c>
      <c r="C202" s="15">
        <v>45595</v>
      </c>
      <c r="D202" s="2" t="s">
        <v>16</v>
      </c>
      <c r="E202" s="3">
        <v>404</v>
      </c>
      <c r="F202" s="3">
        <v>380</v>
      </c>
      <c r="G202" s="3">
        <v>784</v>
      </c>
    </row>
    <row r="203" spans="1:7" x14ac:dyDescent="0.45">
      <c r="A203" s="13" t="str">
        <f t="shared" si="6"/>
        <v>Q4</v>
      </c>
      <c r="B203" s="12" t="str">
        <f t="shared" si="7"/>
        <v>Oct</v>
      </c>
      <c r="C203" s="15">
        <v>45596</v>
      </c>
      <c r="D203" s="2" t="s">
        <v>17</v>
      </c>
      <c r="E203" s="3">
        <v>356</v>
      </c>
      <c r="F203" s="3">
        <v>329</v>
      </c>
      <c r="G203" s="3">
        <v>685</v>
      </c>
    </row>
    <row r="204" spans="1:7" x14ac:dyDescent="0.45">
      <c r="A204" s="13" t="str">
        <f t="shared" si="6"/>
        <v>Q4</v>
      </c>
      <c r="B204" s="12" t="str">
        <f t="shared" si="7"/>
        <v>Nov</v>
      </c>
      <c r="C204" s="15">
        <v>45599</v>
      </c>
      <c r="D204" s="2" t="s">
        <v>13</v>
      </c>
      <c r="E204" s="3">
        <v>400</v>
      </c>
      <c r="F204" s="3">
        <v>370</v>
      </c>
      <c r="G204" s="3">
        <v>770</v>
      </c>
    </row>
    <row r="205" spans="1:7" x14ac:dyDescent="0.45">
      <c r="A205" s="13" t="str">
        <f t="shared" si="6"/>
        <v>Q4</v>
      </c>
      <c r="B205" s="12" t="str">
        <f t="shared" si="7"/>
        <v>Nov</v>
      </c>
      <c r="C205" s="15">
        <v>45600</v>
      </c>
      <c r="D205" s="2" t="s">
        <v>14</v>
      </c>
      <c r="E205" s="3">
        <v>386</v>
      </c>
      <c r="F205" s="3">
        <v>358</v>
      </c>
      <c r="G205" s="3">
        <v>744</v>
      </c>
    </row>
    <row r="206" spans="1:7" x14ac:dyDescent="0.45">
      <c r="A206" s="13" t="str">
        <f t="shared" si="6"/>
        <v>Q4</v>
      </c>
      <c r="B206" s="12" t="str">
        <f t="shared" si="7"/>
        <v>Nov</v>
      </c>
      <c r="C206" s="15">
        <v>45601</v>
      </c>
      <c r="D206" s="2" t="s">
        <v>15</v>
      </c>
      <c r="E206" s="3">
        <v>340</v>
      </c>
      <c r="F206" s="3">
        <v>345</v>
      </c>
      <c r="G206" s="3">
        <v>685</v>
      </c>
    </row>
    <row r="207" spans="1:7" x14ac:dyDescent="0.45">
      <c r="A207" s="13" t="str">
        <f t="shared" si="6"/>
        <v>Q4</v>
      </c>
      <c r="B207" s="12" t="str">
        <f t="shared" si="7"/>
        <v>Nov</v>
      </c>
      <c r="C207" s="15">
        <v>45602</v>
      </c>
      <c r="D207" s="2" t="s">
        <v>16</v>
      </c>
      <c r="E207" s="3">
        <v>322</v>
      </c>
      <c r="F207" s="3">
        <v>310</v>
      </c>
      <c r="G207" s="3">
        <v>632</v>
      </c>
    </row>
    <row r="208" spans="1:7" x14ac:dyDescent="0.45">
      <c r="A208" s="13" t="str">
        <f t="shared" si="6"/>
        <v>Q4</v>
      </c>
      <c r="B208" s="12" t="str">
        <f t="shared" si="7"/>
        <v>Nov</v>
      </c>
      <c r="C208" s="15">
        <v>45603</v>
      </c>
      <c r="D208" s="2" t="s">
        <v>17</v>
      </c>
      <c r="E208" s="3">
        <v>269</v>
      </c>
      <c r="F208" s="3">
        <v>293</v>
      </c>
      <c r="G208" s="3">
        <v>562</v>
      </c>
    </row>
    <row r="209" spans="1:7" x14ac:dyDescent="0.45">
      <c r="A209" s="13" t="str">
        <f t="shared" si="6"/>
        <v>Q4</v>
      </c>
      <c r="B209" s="12" t="str">
        <f t="shared" si="7"/>
        <v>Nov</v>
      </c>
      <c r="C209" s="15">
        <v>45606</v>
      </c>
      <c r="D209" s="2" t="s">
        <v>13</v>
      </c>
      <c r="E209" s="3">
        <v>391</v>
      </c>
      <c r="F209" s="3">
        <v>372</v>
      </c>
      <c r="G209" s="3">
        <v>763</v>
      </c>
    </row>
    <row r="210" spans="1:7" x14ac:dyDescent="0.45">
      <c r="A210" s="13" t="str">
        <f t="shared" si="6"/>
        <v>Q4</v>
      </c>
      <c r="B210" s="12" t="str">
        <f t="shared" si="7"/>
        <v>Nov</v>
      </c>
      <c r="C210" s="15">
        <v>45607</v>
      </c>
      <c r="D210" s="2" t="s">
        <v>14</v>
      </c>
      <c r="E210" s="3">
        <v>359</v>
      </c>
      <c r="F210" s="3">
        <v>355</v>
      </c>
      <c r="G210" s="3">
        <v>714</v>
      </c>
    </row>
    <row r="211" spans="1:7" x14ac:dyDescent="0.45">
      <c r="A211" s="13" t="str">
        <f t="shared" si="6"/>
        <v>Q4</v>
      </c>
      <c r="B211" s="12" t="str">
        <f t="shared" si="7"/>
        <v>Nov</v>
      </c>
      <c r="C211" s="15">
        <v>45608</v>
      </c>
      <c r="D211" s="2" t="s">
        <v>15</v>
      </c>
      <c r="E211" s="3">
        <v>381</v>
      </c>
      <c r="F211" s="3">
        <v>383</v>
      </c>
      <c r="G211" s="3">
        <v>764</v>
      </c>
    </row>
    <row r="212" spans="1:7" x14ac:dyDescent="0.45">
      <c r="A212" s="13" t="str">
        <f t="shared" si="6"/>
        <v>Q4</v>
      </c>
      <c r="B212" s="12" t="str">
        <f t="shared" si="7"/>
        <v>Nov</v>
      </c>
      <c r="C212" s="15">
        <v>45609</v>
      </c>
      <c r="D212" s="2" t="s">
        <v>16</v>
      </c>
      <c r="E212" s="3">
        <v>375</v>
      </c>
      <c r="F212" s="3">
        <v>396</v>
      </c>
      <c r="G212" s="3">
        <v>771</v>
      </c>
    </row>
    <row r="213" spans="1:7" x14ac:dyDescent="0.45">
      <c r="A213" s="13" t="str">
        <f t="shared" si="6"/>
        <v>Q4</v>
      </c>
      <c r="B213" s="12" t="str">
        <f t="shared" si="7"/>
        <v>Nov</v>
      </c>
      <c r="C213" s="15">
        <v>45610</v>
      </c>
      <c r="D213" s="2" t="s">
        <v>17</v>
      </c>
      <c r="E213" s="3">
        <v>351</v>
      </c>
      <c r="F213" s="3">
        <v>376</v>
      </c>
      <c r="G213" s="3">
        <v>727</v>
      </c>
    </row>
    <row r="214" spans="1:7" x14ac:dyDescent="0.45">
      <c r="A214" s="13" t="str">
        <f t="shared" si="6"/>
        <v>Q4</v>
      </c>
      <c r="B214" s="12" t="str">
        <f t="shared" si="7"/>
        <v>Nov</v>
      </c>
      <c r="C214" s="15">
        <v>45613</v>
      </c>
      <c r="D214" s="2" t="s">
        <v>13</v>
      </c>
      <c r="E214" s="3">
        <v>407</v>
      </c>
      <c r="F214" s="3">
        <v>357</v>
      </c>
      <c r="G214" s="3">
        <v>764</v>
      </c>
    </row>
    <row r="215" spans="1:7" x14ac:dyDescent="0.45">
      <c r="A215" s="13" t="str">
        <f t="shared" si="6"/>
        <v>Q4</v>
      </c>
      <c r="B215" s="12" t="str">
        <f t="shared" si="7"/>
        <v>Nov</v>
      </c>
      <c r="C215" s="15">
        <v>45614</v>
      </c>
      <c r="D215" s="2" t="s">
        <v>14</v>
      </c>
      <c r="E215" s="3">
        <v>346</v>
      </c>
      <c r="F215" s="3">
        <v>323</v>
      </c>
      <c r="G215" s="3">
        <v>669</v>
      </c>
    </row>
    <row r="216" spans="1:7" x14ac:dyDescent="0.45">
      <c r="A216" s="13" t="str">
        <f t="shared" si="6"/>
        <v>Q4</v>
      </c>
      <c r="B216" s="12" t="str">
        <f t="shared" si="7"/>
        <v>Nov</v>
      </c>
      <c r="C216" s="15">
        <v>45615</v>
      </c>
      <c r="D216" s="2" t="s">
        <v>15</v>
      </c>
      <c r="E216" s="3">
        <v>367</v>
      </c>
      <c r="F216" s="3">
        <v>355</v>
      </c>
      <c r="G216" s="3">
        <v>722</v>
      </c>
    </row>
    <row r="217" spans="1:7" x14ac:dyDescent="0.45">
      <c r="A217" s="13" t="str">
        <f t="shared" si="6"/>
        <v>Q4</v>
      </c>
      <c r="B217" s="12" t="str">
        <f t="shared" si="7"/>
        <v>Nov</v>
      </c>
      <c r="C217" s="15">
        <v>45616</v>
      </c>
      <c r="D217" s="2" t="s">
        <v>16</v>
      </c>
      <c r="E217" s="3">
        <v>396</v>
      </c>
      <c r="F217" s="3">
        <v>336</v>
      </c>
      <c r="G217" s="3">
        <v>732</v>
      </c>
    </row>
    <row r="218" spans="1:7" x14ac:dyDescent="0.45">
      <c r="A218" s="13" t="str">
        <f t="shared" si="6"/>
        <v>Q4</v>
      </c>
      <c r="B218" s="12" t="str">
        <f t="shared" si="7"/>
        <v>Nov</v>
      </c>
      <c r="C218" s="15">
        <v>45617</v>
      </c>
      <c r="D218" s="2" t="s">
        <v>17</v>
      </c>
      <c r="E218" s="3">
        <v>364</v>
      </c>
      <c r="F218" s="3">
        <v>362</v>
      </c>
      <c r="G218" s="3">
        <v>726</v>
      </c>
    </row>
    <row r="219" spans="1:7" x14ac:dyDescent="0.45">
      <c r="A219" s="13" t="str">
        <f t="shared" si="6"/>
        <v>Q4</v>
      </c>
      <c r="B219" s="12" t="str">
        <f t="shared" si="7"/>
        <v>Nov</v>
      </c>
      <c r="C219" s="15">
        <v>45620</v>
      </c>
      <c r="D219" s="2" t="s">
        <v>13</v>
      </c>
      <c r="E219" s="3">
        <v>398</v>
      </c>
      <c r="F219" s="3">
        <v>339</v>
      </c>
      <c r="G219" s="3">
        <v>737</v>
      </c>
    </row>
    <row r="220" spans="1:7" x14ac:dyDescent="0.45">
      <c r="A220" s="13" t="str">
        <f t="shared" si="6"/>
        <v>Q4</v>
      </c>
      <c r="B220" s="12" t="str">
        <f t="shared" si="7"/>
        <v>Nov</v>
      </c>
      <c r="C220" s="15">
        <v>45621</v>
      </c>
      <c r="D220" s="2" t="s">
        <v>14</v>
      </c>
      <c r="E220" s="3">
        <v>358</v>
      </c>
      <c r="F220" s="3">
        <v>344</v>
      </c>
      <c r="G220" s="3">
        <v>702</v>
      </c>
    </row>
    <row r="221" spans="1:7" x14ac:dyDescent="0.45">
      <c r="A221" s="13" t="str">
        <f t="shared" si="6"/>
        <v>Q4</v>
      </c>
      <c r="B221" s="12" t="str">
        <f t="shared" si="7"/>
        <v>Nov</v>
      </c>
      <c r="C221" s="15">
        <v>45622</v>
      </c>
      <c r="D221" s="2" t="s">
        <v>15</v>
      </c>
      <c r="E221" s="3">
        <v>350</v>
      </c>
      <c r="F221" s="3">
        <v>361</v>
      </c>
      <c r="G221" s="3">
        <v>711</v>
      </c>
    </row>
    <row r="222" spans="1:7" x14ac:dyDescent="0.45">
      <c r="A222" s="13" t="str">
        <f t="shared" si="6"/>
        <v>Q4</v>
      </c>
      <c r="B222" s="12" t="str">
        <f t="shared" si="7"/>
        <v>Nov</v>
      </c>
      <c r="C222" s="15">
        <v>45623</v>
      </c>
      <c r="D222" s="2" t="s">
        <v>16</v>
      </c>
      <c r="E222" s="3">
        <v>358</v>
      </c>
      <c r="F222" s="3">
        <v>359</v>
      </c>
      <c r="G222" s="3">
        <v>717</v>
      </c>
    </row>
    <row r="223" spans="1:7" x14ac:dyDescent="0.45">
      <c r="A223" s="13" t="str">
        <f t="shared" si="6"/>
        <v>Q4</v>
      </c>
      <c r="B223" s="12" t="str">
        <f t="shared" si="7"/>
        <v>Nov</v>
      </c>
      <c r="C223" s="15">
        <v>45624</v>
      </c>
      <c r="D223" s="2" t="s">
        <v>17</v>
      </c>
      <c r="E223" s="3">
        <v>364</v>
      </c>
      <c r="F223" s="3">
        <v>367</v>
      </c>
      <c r="G223" s="3">
        <v>731</v>
      </c>
    </row>
    <row r="224" spans="1:7" x14ac:dyDescent="0.45">
      <c r="A224" s="13" t="str">
        <f t="shared" si="6"/>
        <v>Q4</v>
      </c>
      <c r="B224" s="12" t="str">
        <f t="shared" si="7"/>
        <v>Dec</v>
      </c>
      <c r="C224" s="15">
        <v>45627</v>
      </c>
      <c r="D224" s="2" t="s">
        <v>13</v>
      </c>
      <c r="E224" s="3">
        <v>419</v>
      </c>
      <c r="F224" s="3">
        <v>441</v>
      </c>
      <c r="G224" s="3">
        <v>860</v>
      </c>
    </row>
    <row r="225" spans="1:7" x14ac:dyDescent="0.45">
      <c r="A225" s="13" t="str">
        <f t="shared" si="6"/>
        <v>Q4</v>
      </c>
      <c r="B225" s="12" t="str">
        <f t="shared" si="7"/>
        <v>Dec</v>
      </c>
      <c r="C225" s="15">
        <v>45628</v>
      </c>
      <c r="D225" s="2" t="s">
        <v>14</v>
      </c>
      <c r="E225" s="3">
        <v>400</v>
      </c>
      <c r="F225" s="3">
        <v>441</v>
      </c>
      <c r="G225" s="3">
        <v>841</v>
      </c>
    </row>
    <row r="226" spans="1:7" x14ac:dyDescent="0.45">
      <c r="A226" s="13" t="str">
        <f t="shared" si="6"/>
        <v>Q4</v>
      </c>
      <c r="B226" s="12" t="str">
        <f t="shared" si="7"/>
        <v>Dec</v>
      </c>
      <c r="C226" s="15">
        <v>45629</v>
      </c>
      <c r="D226" s="2" t="s">
        <v>15</v>
      </c>
      <c r="E226" s="3">
        <v>393</v>
      </c>
      <c r="F226" s="3">
        <v>453</v>
      </c>
      <c r="G226" s="3">
        <v>846</v>
      </c>
    </row>
    <row r="227" spans="1:7" x14ac:dyDescent="0.45">
      <c r="A227" s="13" t="str">
        <f t="shared" si="6"/>
        <v>Q4</v>
      </c>
      <c r="B227" s="12" t="str">
        <f t="shared" si="7"/>
        <v>Dec</v>
      </c>
      <c r="C227" s="15">
        <v>45630</v>
      </c>
      <c r="D227" s="2" t="s">
        <v>16</v>
      </c>
      <c r="E227" s="3">
        <v>393</v>
      </c>
      <c r="F227" s="3">
        <v>466</v>
      </c>
      <c r="G227" s="3">
        <v>859</v>
      </c>
    </row>
    <row r="228" spans="1:7" x14ac:dyDescent="0.45">
      <c r="A228" s="13" t="str">
        <f t="shared" si="6"/>
        <v>Q4</v>
      </c>
      <c r="B228" s="12" t="str">
        <f t="shared" si="7"/>
        <v>Dec</v>
      </c>
      <c r="C228" s="15">
        <v>45631</v>
      </c>
      <c r="D228" s="2" t="s">
        <v>17</v>
      </c>
      <c r="E228" s="3">
        <v>236</v>
      </c>
      <c r="F228" s="3">
        <v>295</v>
      </c>
      <c r="G228" s="3">
        <v>531</v>
      </c>
    </row>
    <row r="229" spans="1:7" x14ac:dyDescent="0.45">
      <c r="A229" s="13" t="str">
        <f t="shared" si="6"/>
        <v>Q4</v>
      </c>
      <c r="B229" s="12" t="str">
        <f t="shared" si="7"/>
        <v>Dec</v>
      </c>
      <c r="C229" s="15">
        <v>45632</v>
      </c>
      <c r="D229" s="2" t="s">
        <v>18</v>
      </c>
      <c r="E229" s="3">
        <v>0</v>
      </c>
      <c r="F229" s="3">
        <v>2</v>
      </c>
      <c r="G229" s="3">
        <v>2</v>
      </c>
    </row>
    <row r="230" spans="1:7" x14ac:dyDescent="0.45">
      <c r="A230" s="13" t="str">
        <f t="shared" si="6"/>
        <v>Q4</v>
      </c>
      <c r="B230" s="12" t="str">
        <f t="shared" si="7"/>
        <v>Dec</v>
      </c>
      <c r="C230" s="15">
        <v>45633</v>
      </c>
      <c r="D230" s="2" t="s">
        <v>19</v>
      </c>
      <c r="E230" s="3">
        <v>1</v>
      </c>
      <c r="F230" s="3">
        <v>0</v>
      </c>
      <c r="G230" s="3">
        <v>1</v>
      </c>
    </row>
    <row r="231" spans="1:7" x14ac:dyDescent="0.45">
      <c r="A231" s="13" t="str">
        <f t="shared" si="6"/>
        <v>Q4</v>
      </c>
      <c r="B231" s="12" t="str">
        <f t="shared" si="7"/>
        <v>Dec</v>
      </c>
      <c r="C231" s="15">
        <v>45634</v>
      </c>
      <c r="D231" s="2" t="s">
        <v>13</v>
      </c>
      <c r="E231" s="3">
        <v>391</v>
      </c>
      <c r="F231" s="3">
        <v>536</v>
      </c>
      <c r="G231" s="3">
        <v>927</v>
      </c>
    </row>
    <row r="232" spans="1:7" x14ac:dyDescent="0.45">
      <c r="A232" s="13" t="str">
        <f t="shared" si="6"/>
        <v>Q4</v>
      </c>
      <c r="B232" s="12" t="str">
        <f t="shared" si="7"/>
        <v>Dec</v>
      </c>
      <c r="C232" s="15">
        <v>45635</v>
      </c>
      <c r="D232" s="2" t="s">
        <v>14</v>
      </c>
      <c r="E232" s="3">
        <v>452</v>
      </c>
      <c r="F232" s="3">
        <v>557</v>
      </c>
      <c r="G232" s="3">
        <v>1009</v>
      </c>
    </row>
    <row r="233" spans="1:7" x14ac:dyDescent="0.45">
      <c r="A233" s="13" t="str">
        <f t="shared" si="6"/>
        <v>Q4</v>
      </c>
      <c r="B233" s="12" t="str">
        <f t="shared" si="7"/>
        <v>Dec</v>
      </c>
      <c r="C233" s="15">
        <v>45636</v>
      </c>
      <c r="D233" s="2" t="s">
        <v>15</v>
      </c>
      <c r="E233" s="3">
        <v>485</v>
      </c>
      <c r="F233" s="3">
        <v>536</v>
      </c>
      <c r="G233" s="3">
        <v>1021</v>
      </c>
    </row>
    <row r="234" spans="1:7" x14ac:dyDescent="0.45">
      <c r="A234" s="13" t="str">
        <f t="shared" si="6"/>
        <v>Q4</v>
      </c>
      <c r="B234" s="12" t="str">
        <f t="shared" si="7"/>
        <v>Dec</v>
      </c>
      <c r="C234" s="15">
        <v>45637</v>
      </c>
      <c r="D234" s="2" t="s">
        <v>16</v>
      </c>
      <c r="E234" s="3">
        <v>494</v>
      </c>
      <c r="F234" s="3">
        <v>635</v>
      </c>
      <c r="G234" s="3">
        <v>1129</v>
      </c>
    </row>
    <row r="235" spans="1:7" x14ac:dyDescent="0.45">
      <c r="A235" s="13" t="str">
        <f t="shared" si="6"/>
        <v>Q4</v>
      </c>
      <c r="B235" s="12" t="str">
        <f t="shared" si="7"/>
        <v>Dec</v>
      </c>
      <c r="C235" s="15">
        <v>45638</v>
      </c>
      <c r="D235" s="2" t="s">
        <v>17</v>
      </c>
      <c r="E235" s="3">
        <v>526</v>
      </c>
      <c r="F235" s="3">
        <v>586</v>
      </c>
      <c r="G235" s="3">
        <v>1112</v>
      </c>
    </row>
    <row r="236" spans="1:7" x14ac:dyDescent="0.45">
      <c r="A236" s="13" t="str">
        <f t="shared" si="6"/>
        <v>Q4</v>
      </c>
      <c r="B236" s="12" t="str">
        <f t="shared" si="7"/>
        <v>Dec</v>
      </c>
      <c r="C236" s="15">
        <v>45641</v>
      </c>
      <c r="D236" s="2" t="s">
        <v>13</v>
      </c>
      <c r="E236" s="3">
        <v>472</v>
      </c>
      <c r="F236" s="3">
        <v>550</v>
      </c>
      <c r="G236" s="3">
        <v>1022</v>
      </c>
    </row>
    <row r="237" spans="1:7" x14ac:dyDescent="0.45">
      <c r="A237" s="13" t="str">
        <f t="shared" si="6"/>
        <v>Q4</v>
      </c>
      <c r="B237" s="12" t="str">
        <f t="shared" si="7"/>
        <v>Dec</v>
      </c>
      <c r="C237" s="15">
        <v>45642</v>
      </c>
      <c r="D237" s="2" t="s">
        <v>14</v>
      </c>
      <c r="E237" s="3">
        <v>501</v>
      </c>
      <c r="F237" s="3">
        <v>556</v>
      </c>
      <c r="G237" s="3">
        <v>1057</v>
      </c>
    </row>
    <row r="238" spans="1:7" x14ac:dyDescent="0.45">
      <c r="A238" s="13" t="str">
        <f t="shared" si="6"/>
        <v>Q4</v>
      </c>
      <c r="B238" s="12" t="str">
        <f t="shared" si="7"/>
        <v>Dec</v>
      </c>
      <c r="C238" s="15">
        <v>45643</v>
      </c>
      <c r="D238" s="2" t="s">
        <v>15</v>
      </c>
      <c r="E238" s="3">
        <v>497</v>
      </c>
      <c r="F238" s="3">
        <v>536</v>
      </c>
      <c r="G238" s="3">
        <v>1033</v>
      </c>
    </row>
    <row r="239" spans="1:7" x14ac:dyDescent="0.45">
      <c r="A239" s="13" t="str">
        <f t="shared" si="6"/>
        <v>Q4</v>
      </c>
      <c r="B239" s="12" t="str">
        <f t="shared" si="7"/>
        <v>Dec</v>
      </c>
      <c r="C239" s="15">
        <v>45644</v>
      </c>
      <c r="D239" s="2" t="s">
        <v>16</v>
      </c>
      <c r="E239" s="3">
        <v>510</v>
      </c>
      <c r="F239" s="3">
        <v>537</v>
      </c>
      <c r="G239" s="3">
        <v>1047</v>
      </c>
    </row>
    <row r="240" spans="1:7" x14ac:dyDescent="0.45">
      <c r="A240" s="13" t="str">
        <f t="shared" si="6"/>
        <v>Q4</v>
      </c>
      <c r="B240" s="12" t="str">
        <f t="shared" si="7"/>
        <v>Dec</v>
      </c>
      <c r="C240" s="15">
        <v>45645</v>
      </c>
      <c r="D240" s="2" t="s">
        <v>17</v>
      </c>
      <c r="E240" s="3">
        <v>426</v>
      </c>
      <c r="F240" s="3">
        <v>493</v>
      </c>
      <c r="G240" s="3">
        <v>919</v>
      </c>
    </row>
    <row r="241" spans="1:7" x14ac:dyDescent="0.45">
      <c r="A241" s="13" t="str">
        <f t="shared" si="6"/>
        <v>Q4</v>
      </c>
      <c r="B241" s="12" t="str">
        <f t="shared" si="7"/>
        <v>Dec</v>
      </c>
      <c r="C241" s="15">
        <v>45648</v>
      </c>
      <c r="D241" s="2" t="s">
        <v>13</v>
      </c>
      <c r="E241" s="3">
        <v>486</v>
      </c>
      <c r="F241" s="3">
        <v>461</v>
      </c>
      <c r="G241" s="3">
        <v>947</v>
      </c>
    </row>
    <row r="242" spans="1:7" x14ac:dyDescent="0.45">
      <c r="A242" s="13" t="str">
        <f t="shared" si="6"/>
        <v>Q4</v>
      </c>
      <c r="B242" s="12" t="str">
        <f t="shared" si="7"/>
        <v>Dec</v>
      </c>
      <c r="C242" s="15">
        <v>45649</v>
      </c>
      <c r="D242" s="2" t="s">
        <v>14</v>
      </c>
      <c r="E242" s="3">
        <v>406</v>
      </c>
      <c r="F242" s="3">
        <v>414</v>
      </c>
      <c r="G242" s="3">
        <v>820</v>
      </c>
    </row>
    <row r="243" spans="1:7" x14ac:dyDescent="0.45">
      <c r="A243" s="13" t="str">
        <f t="shared" si="6"/>
        <v>Q4</v>
      </c>
      <c r="B243" s="12" t="str">
        <f t="shared" si="7"/>
        <v>Dec</v>
      </c>
      <c r="C243" s="15">
        <v>45650</v>
      </c>
      <c r="D243" s="2" t="s">
        <v>15</v>
      </c>
      <c r="E243" s="3">
        <v>442</v>
      </c>
      <c r="F243" s="3">
        <v>389</v>
      </c>
      <c r="G243" s="3">
        <v>831</v>
      </c>
    </row>
    <row r="244" spans="1:7" x14ac:dyDescent="0.45">
      <c r="A244" s="13" t="str">
        <f t="shared" si="6"/>
        <v>Q4</v>
      </c>
      <c r="B244" s="12" t="str">
        <f t="shared" si="7"/>
        <v>Dec</v>
      </c>
      <c r="C244" s="15">
        <v>45651</v>
      </c>
      <c r="D244" s="2" t="s">
        <v>16</v>
      </c>
      <c r="E244" s="3">
        <v>398</v>
      </c>
      <c r="F244" s="3">
        <v>356</v>
      </c>
      <c r="G244" s="3">
        <v>754</v>
      </c>
    </row>
    <row r="245" spans="1:7" x14ac:dyDescent="0.45">
      <c r="A245" s="13" t="str">
        <f t="shared" si="6"/>
        <v>Q4</v>
      </c>
      <c r="B245" s="12" t="str">
        <f t="shared" si="7"/>
        <v>Dec</v>
      </c>
      <c r="C245" s="15">
        <v>45652</v>
      </c>
      <c r="D245" s="2" t="s">
        <v>17</v>
      </c>
      <c r="E245" s="3">
        <v>397</v>
      </c>
      <c r="F245" s="3">
        <v>338</v>
      </c>
      <c r="G245" s="3">
        <v>735</v>
      </c>
    </row>
    <row r="246" spans="1:7" x14ac:dyDescent="0.45">
      <c r="A246" s="13" t="str">
        <f t="shared" si="6"/>
        <v>Q4</v>
      </c>
      <c r="B246" s="12" t="str">
        <f t="shared" si="7"/>
        <v>Dec</v>
      </c>
      <c r="C246" s="15">
        <v>45655</v>
      </c>
      <c r="D246" s="2" t="s">
        <v>13</v>
      </c>
      <c r="E246" s="3">
        <v>424</v>
      </c>
      <c r="F246" s="3">
        <v>342</v>
      </c>
      <c r="G246" s="3">
        <v>766</v>
      </c>
    </row>
    <row r="247" spans="1:7" x14ac:dyDescent="0.45">
      <c r="A247" s="13" t="str">
        <f t="shared" si="6"/>
        <v>Q4</v>
      </c>
      <c r="B247" s="12" t="str">
        <f t="shared" si="7"/>
        <v>Dec</v>
      </c>
      <c r="C247" s="15">
        <v>45656</v>
      </c>
      <c r="D247" s="2" t="s">
        <v>14</v>
      </c>
      <c r="E247" s="3">
        <v>411</v>
      </c>
      <c r="F247" s="3">
        <v>349</v>
      </c>
      <c r="G247" s="3">
        <v>760</v>
      </c>
    </row>
    <row r="248" spans="1:7" x14ac:dyDescent="0.45">
      <c r="A248" s="23" t="str">
        <f t="shared" si="6"/>
        <v>Q4</v>
      </c>
      <c r="B248" s="12" t="str">
        <f t="shared" si="7"/>
        <v>Dec</v>
      </c>
      <c r="C248" s="15">
        <v>45657</v>
      </c>
      <c r="D248" s="2" t="s">
        <v>15</v>
      </c>
      <c r="E248" s="3">
        <v>381</v>
      </c>
      <c r="F248" s="3">
        <v>269</v>
      </c>
      <c r="G248" s="3">
        <v>650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0FD79-C1F1-4B6B-B780-3A37A00B3A5E}">
  <dimension ref="A1:H24"/>
  <sheetViews>
    <sheetView topLeftCell="B1" workbookViewId="0">
      <selection activeCell="G5" sqref="G5"/>
    </sheetView>
  </sheetViews>
  <sheetFormatPr defaultRowHeight="14.25" x14ac:dyDescent="0.45"/>
  <cols>
    <col min="1" max="1" width="9.86328125" bestFit="1" customWidth="1"/>
    <col min="2" max="2" width="7.1328125" bestFit="1" customWidth="1"/>
    <col min="3" max="3" width="43.1328125" customWidth="1"/>
    <col min="4" max="4" width="10.59765625" bestFit="1" customWidth="1"/>
    <col min="5" max="5" width="24.1328125" bestFit="1" customWidth="1"/>
    <col min="6" max="6" width="7.73046875" customWidth="1"/>
    <col min="7" max="7" width="12.3984375" style="16" bestFit="1" customWidth="1"/>
    <col min="8" max="8" width="11.59765625" style="16" bestFit="1" customWidth="1"/>
  </cols>
  <sheetData>
    <row r="1" spans="1:8" ht="24" customHeight="1" x14ac:dyDescent="0.45">
      <c r="A1" s="4" t="s">
        <v>1</v>
      </c>
      <c r="B1" s="4" t="s">
        <v>31</v>
      </c>
      <c r="C1" s="4" t="s">
        <v>32</v>
      </c>
      <c r="D1" s="4" t="s">
        <v>11</v>
      </c>
      <c r="E1" s="4" t="s">
        <v>3</v>
      </c>
      <c r="F1" s="4" t="s">
        <v>33</v>
      </c>
      <c r="G1" s="17" t="s">
        <v>34</v>
      </c>
      <c r="H1" s="17" t="s">
        <v>35</v>
      </c>
    </row>
    <row r="2" spans="1:8" x14ac:dyDescent="0.45">
      <c r="A2" s="5" t="str">
        <f>"Q"&amp;ROUNDUP(MONTH(H2)/3,0)</f>
        <v>Q1</v>
      </c>
      <c r="B2" s="6" t="s">
        <v>36</v>
      </c>
      <c r="C2" s="6" t="s">
        <v>37</v>
      </c>
      <c r="D2" s="6" t="s">
        <v>21</v>
      </c>
      <c r="E2" s="6" t="s">
        <v>38</v>
      </c>
      <c r="F2" s="22">
        <f>H2 - G2 + 1</f>
        <v>1</v>
      </c>
      <c r="G2" s="18">
        <v>45292</v>
      </c>
      <c r="H2" s="19">
        <v>45292</v>
      </c>
    </row>
    <row r="3" spans="1:8" x14ac:dyDescent="0.45">
      <c r="A3" s="5" t="str">
        <f t="shared" ref="A3:A24" si="0">"Q"&amp;ROUNDUP(MONTH(H3)/3,0)</f>
        <v>Q1</v>
      </c>
      <c r="B3" s="6" t="s">
        <v>36</v>
      </c>
      <c r="C3" s="6" t="s">
        <v>39</v>
      </c>
      <c r="D3" s="6" t="s">
        <v>21</v>
      </c>
      <c r="E3" s="6" t="s">
        <v>38</v>
      </c>
      <c r="F3" s="22">
        <f t="shared" ref="F3:F24" si="1">H3 - G3 + 1</f>
        <v>7</v>
      </c>
      <c r="G3" s="18">
        <v>45315</v>
      </c>
      <c r="H3" s="20">
        <v>45321</v>
      </c>
    </row>
    <row r="4" spans="1:8" x14ac:dyDescent="0.45">
      <c r="A4" s="5" t="str">
        <f t="shared" si="0"/>
        <v>Q1</v>
      </c>
      <c r="B4" s="6" t="s">
        <v>36</v>
      </c>
      <c r="C4" s="6" t="s">
        <v>40</v>
      </c>
      <c r="D4" s="6" t="s">
        <v>22</v>
      </c>
      <c r="E4" s="6" t="s">
        <v>38</v>
      </c>
      <c r="F4" s="22">
        <f t="shared" si="1"/>
        <v>1</v>
      </c>
      <c r="G4" s="18">
        <v>45344</v>
      </c>
      <c r="H4" s="21">
        <v>45344</v>
      </c>
    </row>
    <row r="5" spans="1:8" x14ac:dyDescent="0.45">
      <c r="A5" s="5" t="str">
        <f t="shared" si="0"/>
        <v>Q1</v>
      </c>
      <c r="B5" s="6" t="s">
        <v>36</v>
      </c>
      <c r="C5" s="6" t="s">
        <v>41</v>
      </c>
      <c r="D5" s="6" t="s">
        <v>21</v>
      </c>
      <c r="E5" s="6" t="s">
        <v>38</v>
      </c>
      <c r="F5" s="22">
        <f t="shared" si="1"/>
        <v>1</v>
      </c>
      <c r="G5" s="18">
        <v>45359</v>
      </c>
      <c r="H5" s="20">
        <v>45359</v>
      </c>
    </row>
    <row r="6" spans="1:8" x14ac:dyDescent="0.45">
      <c r="A6" s="5" t="str">
        <f t="shared" si="0"/>
        <v>Q2</v>
      </c>
      <c r="B6" s="6" t="s">
        <v>36</v>
      </c>
      <c r="C6" s="6" t="s">
        <v>42</v>
      </c>
      <c r="D6" s="6" t="s">
        <v>21</v>
      </c>
      <c r="E6" s="6" t="s">
        <v>38</v>
      </c>
      <c r="F6" s="22">
        <f t="shared" si="1"/>
        <v>1</v>
      </c>
      <c r="G6" s="18">
        <v>45386</v>
      </c>
      <c r="H6" s="20">
        <v>45386</v>
      </c>
    </row>
    <row r="7" spans="1:8" x14ac:dyDescent="0.45">
      <c r="A7" s="5" t="str">
        <f t="shared" si="0"/>
        <v>Q2</v>
      </c>
      <c r="B7" s="6" t="s">
        <v>36</v>
      </c>
      <c r="C7" s="6" t="s">
        <v>43</v>
      </c>
      <c r="D7" s="6" t="s">
        <v>21</v>
      </c>
      <c r="E7" s="6" t="s">
        <v>38</v>
      </c>
      <c r="F7" s="22">
        <f t="shared" si="1"/>
        <v>1</v>
      </c>
      <c r="G7" s="18">
        <v>45412</v>
      </c>
      <c r="H7" s="20">
        <v>45412</v>
      </c>
    </row>
    <row r="8" spans="1:8" x14ac:dyDescent="0.45">
      <c r="A8" s="5" t="str">
        <f t="shared" si="0"/>
        <v>Q2</v>
      </c>
      <c r="B8" s="6" t="s">
        <v>36</v>
      </c>
      <c r="C8" s="6" t="s">
        <v>44</v>
      </c>
      <c r="D8" s="6" t="s">
        <v>21</v>
      </c>
      <c r="E8" s="6" t="s">
        <v>38</v>
      </c>
      <c r="F8" s="22">
        <f t="shared" si="1"/>
        <v>1</v>
      </c>
      <c r="G8" s="18">
        <v>45419</v>
      </c>
      <c r="H8" s="20">
        <v>45419</v>
      </c>
    </row>
    <row r="9" spans="1:8" x14ac:dyDescent="0.45">
      <c r="A9" s="5" t="str">
        <f t="shared" si="0"/>
        <v>Q2</v>
      </c>
      <c r="B9" s="6" t="s">
        <v>36</v>
      </c>
      <c r="C9" s="6" t="s">
        <v>45</v>
      </c>
      <c r="D9" s="6" t="s">
        <v>21</v>
      </c>
      <c r="E9" s="6" t="s">
        <v>38</v>
      </c>
      <c r="F9" s="22">
        <f t="shared" si="1"/>
        <v>1</v>
      </c>
      <c r="G9" s="18">
        <v>45441</v>
      </c>
      <c r="H9" s="20">
        <v>45441</v>
      </c>
    </row>
    <row r="10" spans="1:8" x14ac:dyDescent="0.45">
      <c r="A10" s="5" t="str">
        <f t="shared" si="0"/>
        <v>Q2</v>
      </c>
      <c r="B10" s="6" t="s">
        <v>36</v>
      </c>
      <c r="C10" s="6" t="s">
        <v>46</v>
      </c>
      <c r="D10" s="6" t="s">
        <v>21</v>
      </c>
      <c r="E10" s="6" t="s">
        <v>38</v>
      </c>
      <c r="F10" s="22">
        <f t="shared" si="1"/>
        <v>2</v>
      </c>
      <c r="G10" s="18">
        <v>45448</v>
      </c>
      <c r="H10" s="20">
        <v>45449</v>
      </c>
    </row>
    <row r="11" spans="1:8" x14ac:dyDescent="0.45">
      <c r="A11" s="5" t="str">
        <f t="shared" si="0"/>
        <v>Q3</v>
      </c>
      <c r="B11" s="6" t="s">
        <v>36</v>
      </c>
      <c r="C11" s="6" t="s">
        <v>47</v>
      </c>
      <c r="D11" s="6" t="s">
        <v>21</v>
      </c>
      <c r="E11" s="6" t="s">
        <v>38</v>
      </c>
      <c r="F11" s="22">
        <f t="shared" si="1"/>
        <v>1</v>
      </c>
      <c r="G11" s="18">
        <v>45525</v>
      </c>
      <c r="H11" s="20">
        <v>45525</v>
      </c>
    </row>
    <row r="12" spans="1:8" x14ac:dyDescent="0.45">
      <c r="A12" s="5" t="str">
        <f t="shared" si="0"/>
        <v>Q3</v>
      </c>
      <c r="B12" s="6" t="s">
        <v>36</v>
      </c>
      <c r="C12" s="6" t="s">
        <v>48</v>
      </c>
      <c r="D12" s="6" t="s">
        <v>22</v>
      </c>
      <c r="E12" s="6" t="s">
        <v>38</v>
      </c>
      <c r="F12" s="22">
        <f t="shared" si="1"/>
        <v>1</v>
      </c>
      <c r="G12" s="18">
        <v>45558</v>
      </c>
      <c r="H12" s="20">
        <v>45558</v>
      </c>
    </row>
    <row r="13" spans="1:8" x14ac:dyDescent="0.45">
      <c r="A13" s="5" t="str">
        <f t="shared" si="0"/>
        <v>Q3</v>
      </c>
      <c r="B13" s="6" t="s">
        <v>36</v>
      </c>
      <c r="C13" s="6" t="s">
        <v>49</v>
      </c>
      <c r="D13" s="6" t="s">
        <v>21</v>
      </c>
      <c r="E13" s="6" t="s">
        <v>38</v>
      </c>
      <c r="F13" s="22">
        <f t="shared" si="1"/>
        <v>5</v>
      </c>
      <c r="G13" s="18">
        <v>45560</v>
      </c>
      <c r="H13" s="20">
        <v>45564</v>
      </c>
    </row>
    <row r="14" spans="1:8" x14ac:dyDescent="0.45">
      <c r="A14" s="5" t="str">
        <f t="shared" si="0"/>
        <v>Q4</v>
      </c>
      <c r="B14" s="6" t="s">
        <v>36</v>
      </c>
      <c r="C14" s="6" t="s">
        <v>50</v>
      </c>
      <c r="D14" s="6" t="s">
        <v>21</v>
      </c>
      <c r="E14" s="7" t="s">
        <v>51</v>
      </c>
      <c r="F14" s="22">
        <f t="shared" si="1"/>
        <v>10</v>
      </c>
      <c r="G14" s="18">
        <v>45561</v>
      </c>
      <c r="H14" s="20">
        <v>45570</v>
      </c>
    </row>
    <row r="15" spans="1:8" x14ac:dyDescent="0.45">
      <c r="A15" s="5" t="str">
        <f t="shared" si="0"/>
        <v>Q4</v>
      </c>
      <c r="B15" s="6" t="s">
        <v>36</v>
      </c>
      <c r="C15" s="6" t="s">
        <v>52</v>
      </c>
      <c r="D15" s="6" t="s">
        <v>22</v>
      </c>
      <c r="E15" s="6" t="s">
        <v>38</v>
      </c>
      <c r="F15" s="22">
        <f t="shared" si="1"/>
        <v>1</v>
      </c>
      <c r="G15" s="18">
        <v>45566</v>
      </c>
      <c r="H15" s="20">
        <v>45566</v>
      </c>
    </row>
    <row r="16" spans="1:8" x14ac:dyDescent="0.45">
      <c r="A16" s="5" t="str">
        <f t="shared" si="0"/>
        <v>Q4</v>
      </c>
      <c r="B16" s="6" t="s">
        <v>36</v>
      </c>
      <c r="C16" s="6" t="s">
        <v>53</v>
      </c>
      <c r="D16" s="6" t="s">
        <v>21</v>
      </c>
      <c r="E16" s="6" t="s">
        <v>38</v>
      </c>
      <c r="F16" s="22">
        <f t="shared" si="1"/>
        <v>1</v>
      </c>
      <c r="G16" s="18">
        <v>45566</v>
      </c>
      <c r="H16" s="20">
        <v>45566</v>
      </c>
    </row>
    <row r="17" spans="1:8" x14ac:dyDescent="0.45">
      <c r="A17" s="5" t="str">
        <f t="shared" si="0"/>
        <v>Q4</v>
      </c>
      <c r="B17" s="6" t="s">
        <v>36</v>
      </c>
      <c r="C17" s="6" t="s">
        <v>54</v>
      </c>
      <c r="D17" s="6" t="s">
        <v>21</v>
      </c>
      <c r="E17" s="6" t="s">
        <v>55</v>
      </c>
      <c r="F17" s="22">
        <f t="shared" si="1"/>
        <v>2</v>
      </c>
      <c r="G17" s="18">
        <v>45571</v>
      </c>
      <c r="H17" s="20">
        <v>45572</v>
      </c>
    </row>
    <row r="18" spans="1:8" x14ac:dyDescent="0.45">
      <c r="A18" s="5" t="str">
        <f t="shared" si="0"/>
        <v>Q4</v>
      </c>
      <c r="B18" s="6" t="s">
        <v>36</v>
      </c>
      <c r="C18" s="6" t="s">
        <v>56</v>
      </c>
      <c r="D18" s="6" t="s">
        <v>21</v>
      </c>
      <c r="E18" s="6" t="s">
        <v>38</v>
      </c>
      <c r="F18" s="22">
        <f t="shared" si="1"/>
        <v>1</v>
      </c>
      <c r="G18" s="18">
        <v>45573</v>
      </c>
      <c r="H18" s="20">
        <v>45573</v>
      </c>
    </row>
    <row r="19" spans="1:8" x14ac:dyDescent="0.45">
      <c r="A19" s="5" t="str">
        <f t="shared" si="0"/>
        <v>Q4</v>
      </c>
      <c r="B19" s="6" t="s">
        <v>36</v>
      </c>
      <c r="C19" s="6" t="s">
        <v>57</v>
      </c>
      <c r="D19" s="6" t="s">
        <v>21</v>
      </c>
      <c r="E19" s="6" t="s">
        <v>38</v>
      </c>
      <c r="F19" s="22">
        <f t="shared" si="1"/>
        <v>1</v>
      </c>
      <c r="G19" s="18">
        <v>45603</v>
      </c>
      <c r="H19" s="20">
        <v>45603</v>
      </c>
    </row>
    <row r="20" spans="1:8" x14ac:dyDescent="0.45">
      <c r="A20" s="5" t="str">
        <f t="shared" si="0"/>
        <v>Q4</v>
      </c>
      <c r="B20" s="6" t="s">
        <v>36</v>
      </c>
      <c r="C20" s="6" t="s">
        <v>58</v>
      </c>
      <c r="D20" s="6" t="s">
        <v>21</v>
      </c>
      <c r="E20" s="6" t="s">
        <v>59</v>
      </c>
      <c r="F20" s="22">
        <f t="shared" si="1"/>
        <v>10</v>
      </c>
      <c r="G20" s="18">
        <v>45624</v>
      </c>
      <c r="H20" s="20">
        <v>45633</v>
      </c>
    </row>
    <row r="21" spans="1:8" x14ac:dyDescent="0.45">
      <c r="A21" s="5" t="str">
        <f t="shared" si="0"/>
        <v>Q4</v>
      </c>
      <c r="B21" s="6" t="s">
        <v>36</v>
      </c>
      <c r="C21" s="6" t="s">
        <v>60</v>
      </c>
      <c r="D21" s="6" t="s">
        <v>21</v>
      </c>
      <c r="E21" s="6" t="s">
        <v>38</v>
      </c>
      <c r="F21" s="22">
        <f t="shared" si="1"/>
        <v>1</v>
      </c>
      <c r="G21" s="18">
        <v>45629</v>
      </c>
      <c r="H21" s="20">
        <v>45629</v>
      </c>
    </row>
    <row r="22" spans="1:8" x14ac:dyDescent="0.45">
      <c r="A22" s="5" t="str">
        <f t="shared" si="0"/>
        <v>Q4</v>
      </c>
      <c r="B22" s="6" t="s">
        <v>36</v>
      </c>
      <c r="C22" s="6" t="s">
        <v>61</v>
      </c>
      <c r="D22" s="6" t="s">
        <v>21</v>
      </c>
      <c r="E22" s="6" t="s">
        <v>38</v>
      </c>
      <c r="F22" s="22">
        <f t="shared" si="1"/>
        <v>3</v>
      </c>
      <c r="G22" s="18">
        <v>45631</v>
      </c>
      <c r="H22" s="20">
        <v>45633</v>
      </c>
    </row>
    <row r="23" spans="1:8" x14ac:dyDescent="0.45">
      <c r="A23" s="5" t="str">
        <f t="shared" si="0"/>
        <v>Q4</v>
      </c>
      <c r="B23" s="6" t="s">
        <v>36</v>
      </c>
      <c r="C23" s="6" t="s">
        <v>62</v>
      </c>
      <c r="D23" s="6" t="s">
        <v>21</v>
      </c>
      <c r="E23" s="6" t="s">
        <v>38</v>
      </c>
      <c r="F23" s="22">
        <f t="shared" si="1"/>
        <v>1</v>
      </c>
      <c r="G23" s="18">
        <v>45643</v>
      </c>
      <c r="H23" s="20">
        <v>45643</v>
      </c>
    </row>
    <row r="24" spans="1:8" x14ac:dyDescent="0.45">
      <c r="A24" s="5" t="str">
        <f t="shared" si="0"/>
        <v>Q4</v>
      </c>
      <c r="B24" s="6" t="s">
        <v>63</v>
      </c>
      <c r="C24" s="6" t="s">
        <v>64</v>
      </c>
      <c r="D24" s="6" t="s">
        <v>21</v>
      </c>
      <c r="E24" s="6" t="s">
        <v>65</v>
      </c>
      <c r="F24" s="22">
        <f t="shared" si="1"/>
        <v>1</v>
      </c>
      <c r="G24" s="18">
        <v>45644</v>
      </c>
      <c r="H24" s="20">
        <v>45644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A5E0A-D8D7-4B6C-B88B-0B79DD7F1CA6}">
  <dimension ref="A1:E18"/>
  <sheetViews>
    <sheetView workbookViewId="0">
      <selection activeCell="A16" sqref="A16"/>
    </sheetView>
  </sheetViews>
  <sheetFormatPr defaultRowHeight="14.25" x14ac:dyDescent="0.45"/>
  <cols>
    <col min="1" max="1" width="37.86328125" style="24" bestFit="1" customWidth="1"/>
    <col min="2" max="2" width="10.86328125" bestFit="1" customWidth="1"/>
    <col min="3" max="3" width="45.73046875" customWidth="1"/>
    <col min="4" max="4" width="81" style="38" bestFit="1" customWidth="1"/>
    <col min="5" max="5" width="36.59765625" bestFit="1" customWidth="1"/>
  </cols>
  <sheetData>
    <row r="1" spans="1:5" ht="32.25" customHeight="1" x14ac:dyDescent="0.45">
      <c r="A1" s="30" t="s">
        <v>66</v>
      </c>
      <c r="B1" s="4" t="s">
        <v>67</v>
      </c>
      <c r="C1" s="4" t="s">
        <v>68</v>
      </c>
      <c r="D1" s="34" t="s">
        <v>69</v>
      </c>
      <c r="E1" s="29" t="s">
        <v>8</v>
      </c>
    </row>
    <row r="2" spans="1:5" ht="28.5" x14ac:dyDescent="0.45">
      <c r="A2" s="31" t="s">
        <v>70</v>
      </c>
      <c r="B2" s="8">
        <f>8487+ 1245</f>
        <v>9732</v>
      </c>
      <c r="C2" s="25" t="s">
        <v>71</v>
      </c>
      <c r="D2" s="35" t="s">
        <v>72</v>
      </c>
      <c r="E2" s="26" t="s">
        <v>23</v>
      </c>
    </row>
    <row r="3" spans="1:5" x14ac:dyDescent="0.45">
      <c r="A3" s="24" t="s">
        <v>73</v>
      </c>
      <c r="B3" s="8">
        <v>71</v>
      </c>
      <c r="C3" s="8" t="s">
        <v>74</v>
      </c>
      <c r="D3" s="35" t="s">
        <v>75</v>
      </c>
      <c r="E3" s="27" t="s">
        <v>23</v>
      </c>
    </row>
    <row r="4" spans="1:5" ht="28.5" x14ac:dyDescent="0.45">
      <c r="A4" s="24" t="s">
        <v>76</v>
      </c>
      <c r="B4" s="8">
        <v>1151</v>
      </c>
      <c r="C4" s="8" t="s">
        <v>77</v>
      </c>
      <c r="D4" s="35" t="s">
        <v>78</v>
      </c>
      <c r="E4" s="28" t="s">
        <v>23</v>
      </c>
    </row>
    <row r="5" spans="1:5" x14ac:dyDescent="0.45">
      <c r="A5" s="24" t="s">
        <v>79</v>
      </c>
      <c r="B5" s="8">
        <v>6</v>
      </c>
      <c r="C5" s="8" t="s">
        <v>80</v>
      </c>
      <c r="D5" s="36" t="s">
        <v>81</v>
      </c>
      <c r="E5" s="27" t="s">
        <v>23</v>
      </c>
    </row>
    <row r="6" spans="1:5" ht="28.5" x14ac:dyDescent="0.45">
      <c r="A6" s="24" t="s">
        <v>82</v>
      </c>
      <c r="B6" s="8">
        <v>12936</v>
      </c>
      <c r="C6" s="8" t="s">
        <v>83</v>
      </c>
      <c r="D6" s="35" t="s">
        <v>84</v>
      </c>
      <c r="E6" s="24" t="s">
        <v>12</v>
      </c>
    </row>
    <row r="7" spans="1:5" x14ac:dyDescent="0.45">
      <c r="A7" s="24" t="s">
        <v>85</v>
      </c>
      <c r="B7" s="8">
        <v>1659</v>
      </c>
      <c r="C7" s="8" t="s">
        <v>86</v>
      </c>
      <c r="D7" s="35" t="s">
        <v>87</v>
      </c>
      <c r="E7" s="24" t="s">
        <v>24</v>
      </c>
    </row>
    <row r="8" spans="1:5" ht="28.5" x14ac:dyDescent="0.45">
      <c r="A8" s="24" t="s">
        <v>88</v>
      </c>
      <c r="B8" s="8">
        <v>396</v>
      </c>
      <c r="C8" s="8" t="s">
        <v>89</v>
      </c>
      <c r="D8" s="35" t="s">
        <v>90</v>
      </c>
      <c r="E8" s="24" t="s">
        <v>12</v>
      </c>
    </row>
    <row r="9" spans="1:5" x14ac:dyDescent="0.45">
      <c r="A9" s="24" t="s">
        <v>91</v>
      </c>
      <c r="B9" s="8">
        <v>203</v>
      </c>
      <c r="C9" s="8" t="s">
        <v>92</v>
      </c>
      <c r="D9" s="36" t="s">
        <v>93</v>
      </c>
      <c r="E9" s="24" t="s">
        <v>12</v>
      </c>
    </row>
    <row r="10" spans="1:5" ht="28.5" x14ac:dyDescent="0.45">
      <c r="A10" s="32" t="s">
        <v>94</v>
      </c>
      <c r="B10" s="8">
        <v>478</v>
      </c>
      <c r="C10" s="8" t="s">
        <v>95</v>
      </c>
      <c r="D10" s="35" t="s">
        <v>96</v>
      </c>
      <c r="E10" s="28" t="s">
        <v>25</v>
      </c>
    </row>
    <row r="11" spans="1:5" x14ac:dyDescent="0.45">
      <c r="A11" s="24" t="s">
        <v>97</v>
      </c>
      <c r="B11" s="8">
        <v>70</v>
      </c>
      <c r="C11" s="8" t="s">
        <v>98</v>
      </c>
      <c r="D11" s="36" t="s">
        <v>99</v>
      </c>
      <c r="E11" s="24" t="s">
        <v>25</v>
      </c>
    </row>
    <row r="12" spans="1:5" x14ac:dyDescent="0.45">
      <c r="A12" s="24" t="s">
        <v>100</v>
      </c>
      <c r="B12" s="8">
        <v>112</v>
      </c>
      <c r="C12" s="8" t="s">
        <v>101</v>
      </c>
      <c r="D12" s="36" t="s">
        <v>102</v>
      </c>
      <c r="E12" s="24" t="s">
        <v>12</v>
      </c>
    </row>
    <row r="13" spans="1:5" ht="42.75" x14ac:dyDescent="0.45">
      <c r="A13" s="24" t="s">
        <v>103</v>
      </c>
      <c r="B13" s="8">
        <v>114</v>
      </c>
      <c r="C13" s="8" t="s">
        <v>104</v>
      </c>
      <c r="D13" s="35" t="s">
        <v>105</v>
      </c>
      <c r="E13" s="24" t="s">
        <v>26</v>
      </c>
    </row>
    <row r="14" spans="1:5" ht="28.5" x14ac:dyDescent="0.45">
      <c r="A14" s="24" t="s">
        <v>106</v>
      </c>
      <c r="B14" s="8">
        <v>33</v>
      </c>
      <c r="C14" s="8" t="s">
        <v>107</v>
      </c>
      <c r="D14" s="35" t="s">
        <v>108</v>
      </c>
      <c r="E14" s="24" t="s">
        <v>26</v>
      </c>
    </row>
    <row r="15" spans="1:5" ht="42.75" x14ac:dyDescent="0.45">
      <c r="A15" s="24" t="s">
        <v>109</v>
      </c>
      <c r="B15" s="8">
        <v>104</v>
      </c>
      <c r="C15" s="8" t="s">
        <v>110</v>
      </c>
      <c r="D15" s="35" t="s">
        <v>111</v>
      </c>
      <c r="E15" s="24" t="s">
        <v>24</v>
      </c>
    </row>
    <row r="16" spans="1:5" ht="28.5" x14ac:dyDescent="0.45">
      <c r="A16" s="33" t="s">
        <v>112</v>
      </c>
      <c r="B16" s="8">
        <v>21</v>
      </c>
      <c r="C16" s="8" t="s">
        <v>113</v>
      </c>
      <c r="D16" s="35" t="s">
        <v>114</v>
      </c>
      <c r="E16" s="24" t="s">
        <v>24</v>
      </c>
    </row>
    <row r="17" spans="1:5" x14ac:dyDescent="0.45">
      <c r="A17" s="32" t="s">
        <v>115</v>
      </c>
      <c r="B17" s="8">
        <v>84</v>
      </c>
      <c r="C17" s="8" t="s">
        <v>116</v>
      </c>
      <c r="D17" s="36" t="s">
        <v>117</v>
      </c>
      <c r="E17" s="24" t="s">
        <v>25</v>
      </c>
    </row>
    <row r="18" spans="1:5" ht="28.5" x14ac:dyDescent="0.45">
      <c r="A18" s="24" t="s">
        <v>118</v>
      </c>
      <c r="B18" s="9">
        <v>36</v>
      </c>
      <c r="C18" s="9" t="s">
        <v>119</v>
      </c>
      <c r="D18" s="37" t="s">
        <v>120</v>
      </c>
      <c r="E18" s="27" t="s">
        <v>23</v>
      </c>
    </row>
  </sheetData>
  <hyperlinks>
    <hyperlink ref="C3" r:id="rId1" xr:uid="{F0435025-FDB4-4FAF-A1BF-C63D29ADCD94}"/>
    <hyperlink ref="C2" r:id="rId2" xr:uid="{F4EED2A3-E564-4C61-8796-5B09176DE5AE}"/>
    <hyperlink ref="C4" r:id="rId3" xr:uid="{047675E5-2E70-44BA-A16A-F6CA0076D88B}"/>
    <hyperlink ref="C5" r:id="rId4" xr:uid="{BC25656B-48BC-4588-BD62-E5BA471E4A94}"/>
    <hyperlink ref="C6" r:id="rId5" xr:uid="{D5FF639C-950D-4DC8-8B47-AB3EE33B4F57}"/>
    <hyperlink ref="C8" r:id="rId6" xr:uid="{032BA4F6-B465-4513-BB19-5ECBF18941A8}"/>
    <hyperlink ref="C9" r:id="rId7" xr:uid="{96BB1201-E511-4AB9-B0CB-47E1571C9405}"/>
    <hyperlink ref="C10" r:id="rId8" xr:uid="{9F6548DC-4019-475C-915B-0DDD7FC2C645}"/>
    <hyperlink ref="C11" r:id="rId9" xr:uid="{7DCE5C37-4BB2-4A68-BFDC-1938B52296EC}"/>
    <hyperlink ref="C12" r:id="rId10" xr:uid="{24768765-937A-4365-99E5-495CE0719334}"/>
    <hyperlink ref="C13" r:id="rId11" xr:uid="{AAA3120E-6A22-4DFE-8B7C-6BA5F1C2EAF3}"/>
    <hyperlink ref="C14" r:id="rId12" xr:uid="{E4116AA1-C098-4C48-B037-C916A66203E2}"/>
    <hyperlink ref="C15" r:id="rId13" xr:uid="{D42E373F-B948-4BEE-886A-89715BDA4514}"/>
    <hyperlink ref="C16" r:id="rId14" xr:uid="{DC07FBDA-4AAF-4EFA-874A-32068FE0EF86}"/>
    <hyperlink ref="C17" r:id="rId15" xr:uid="{C203A984-5CF3-4556-A85F-A6CCE78ADDA1}"/>
    <hyperlink ref="C18" r:id="rId16" xr:uid="{BDE73BED-92E4-42F7-A486-9742B940754D}"/>
    <hyperlink ref="C7" r:id="rId17" xr:uid="{279BFE78-B251-4C02-B607-406B44B40700}"/>
  </hyperlinks>
  <pageMargins left="0.7" right="0.7" top="0.75" bottom="0.75" header="0.3" footer="0.3"/>
  <tableParts count="1">
    <tablePart r:id="rId1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A0386-6412-4216-A50A-73A4DF7AE8DD}">
  <dimension ref="A1:C16"/>
  <sheetViews>
    <sheetView workbookViewId="0">
      <selection activeCell="G17" sqref="G17"/>
    </sheetView>
  </sheetViews>
  <sheetFormatPr defaultRowHeight="14.25" x14ac:dyDescent="0.45"/>
  <cols>
    <col min="1" max="1" width="69.1328125" style="24" customWidth="1"/>
    <col min="2" max="2" width="11.265625" bestFit="1" customWidth="1"/>
    <col min="3" max="3" width="9.59765625" style="44" bestFit="1" customWidth="1"/>
  </cols>
  <sheetData>
    <row r="1" spans="1:3" x14ac:dyDescent="0.45">
      <c r="A1" s="30" t="s">
        <v>4</v>
      </c>
      <c r="B1" s="40" t="s">
        <v>2</v>
      </c>
      <c r="C1" s="4" t="s">
        <v>121</v>
      </c>
    </row>
    <row r="2" spans="1:3" ht="28.5" x14ac:dyDescent="0.45">
      <c r="A2" s="49" t="s">
        <v>122</v>
      </c>
      <c r="B2" s="39" t="s">
        <v>5</v>
      </c>
      <c r="C2" s="48">
        <v>673</v>
      </c>
    </row>
    <row r="3" spans="1:3" ht="28.5" x14ac:dyDescent="0.45">
      <c r="A3" s="49" t="s">
        <v>122</v>
      </c>
      <c r="B3" s="47" t="s">
        <v>6</v>
      </c>
      <c r="C3" s="45">
        <v>160</v>
      </c>
    </row>
    <row r="4" spans="1:3" ht="28.5" x14ac:dyDescent="0.45">
      <c r="A4" s="49" t="s">
        <v>122</v>
      </c>
      <c r="B4" s="47" t="s">
        <v>7</v>
      </c>
      <c r="C4" s="46">
        <v>597</v>
      </c>
    </row>
    <row r="5" spans="1:3" x14ac:dyDescent="0.45">
      <c r="A5" s="50" t="s">
        <v>123</v>
      </c>
      <c r="B5" s="39" t="s">
        <v>5</v>
      </c>
      <c r="C5" s="41">
        <v>808</v>
      </c>
    </row>
    <row r="6" spans="1:3" x14ac:dyDescent="0.45">
      <c r="A6" s="50" t="s">
        <v>123</v>
      </c>
      <c r="B6" s="39" t="s">
        <v>6</v>
      </c>
      <c r="C6" s="42">
        <v>67</v>
      </c>
    </row>
    <row r="7" spans="1:3" x14ac:dyDescent="0.45">
      <c r="A7" s="50" t="s">
        <v>123</v>
      </c>
      <c r="B7" s="39" t="s">
        <v>7</v>
      </c>
      <c r="C7" s="43">
        <v>555</v>
      </c>
    </row>
    <row r="8" spans="1:3" x14ac:dyDescent="0.45">
      <c r="A8" s="50" t="s">
        <v>124</v>
      </c>
      <c r="B8" s="39" t="s">
        <v>5</v>
      </c>
      <c r="C8" s="42">
        <v>683</v>
      </c>
    </row>
    <row r="9" spans="1:3" x14ac:dyDescent="0.45">
      <c r="A9" s="50" t="s">
        <v>124</v>
      </c>
      <c r="B9" s="39" t="s">
        <v>6</v>
      </c>
      <c r="C9" s="42">
        <v>168</v>
      </c>
    </row>
    <row r="10" spans="1:3" x14ac:dyDescent="0.45">
      <c r="A10" s="50" t="s">
        <v>124</v>
      </c>
      <c r="B10" s="39" t="s">
        <v>7</v>
      </c>
      <c r="C10" s="43">
        <v>579</v>
      </c>
    </row>
    <row r="11" spans="1:3" x14ac:dyDescent="0.45">
      <c r="A11" s="50" t="s">
        <v>125</v>
      </c>
      <c r="B11" s="39" t="s">
        <v>5</v>
      </c>
      <c r="C11" s="42">
        <v>543</v>
      </c>
    </row>
    <row r="12" spans="1:3" x14ac:dyDescent="0.45">
      <c r="A12" s="50" t="s">
        <v>125</v>
      </c>
      <c r="B12" s="39" t="s">
        <v>6</v>
      </c>
      <c r="C12" s="42">
        <v>138</v>
      </c>
    </row>
    <row r="13" spans="1:3" x14ac:dyDescent="0.45">
      <c r="A13" s="50" t="s">
        <v>125</v>
      </c>
      <c r="B13" s="39" t="s">
        <v>7</v>
      </c>
      <c r="C13" s="43">
        <v>749</v>
      </c>
    </row>
    <row r="14" spans="1:3" ht="28.5" x14ac:dyDescent="0.45">
      <c r="A14" s="51" t="s">
        <v>126</v>
      </c>
      <c r="B14" s="39" t="s">
        <v>5</v>
      </c>
      <c r="C14" s="42">
        <v>769</v>
      </c>
    </row>
    <row r="15" spans="1:3" ht="28.5" x14ac:dyDescent="0.45">
      <c r="A15" s="51" t="s">
        <v>126</v>
      </c>
      <c r="B15" s="39" t="s">
        <v>6</v>
      </c>
      <c r="C15" s="42">
        <v>65</v>
      </c>
    </row>
    <row r="16" spans="1:3" ht="28.5" x14ac:dyDescent="0.45">
      <c r="A16" s="51" t="s">
        <v>126</v>
      </c>
      <c r="B16" s="39" t="s">
        <v>7</v>
      </c>
      <c r="C16" s="43">
        <v>596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pivottables</vt:lpstr>
      <vt:lpstr>Library working hours</vt:lpstr>
      <vt:lpstr>Number of library visitors</vt:lpstr>
      <vt:lpstr>library events 2024</vt:lpstr>
      <vt:lpstr>Statistics on the use of electr</vt:lpstr>
      <vt:lpstr>Beneficiary satisfaction measur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Qonot ahmed</dc:creator>
  <cp:keywords/>
  <dc:description/>
  <cp:lastModifiedBy>Qonot ahmed</cp:lastModifiedBy>
  <cp:revision/>
  <dcterms:created xsi:type="dcterms:W3CDTF">2026-01-27T17:17:23Z</dcterms:created>
  <dcterms:modified xsi:type="dcterms:W3CDTF">2026-02-10T22:52:22Z</dcterms:modified>
  <cp:category/>
  <cp:contentStatus/>
</cp:coreProperties>
</file>